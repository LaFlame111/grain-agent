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35" windowWidth="19395" windowHeight="760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R105" i="1" l="1"/>
  <c r="Q105" i="1"/>
  <c r="O105" i="1"/>
  <c r="P105" i="1" s="1"/>
  <c r="N105" i="1"/>
  <c r="M105" i="1"/>
  <c r="K105" i="1"/>
  <c r="L105" i="1" s="1"/>
  <c r="I105" i="1"/>
  <c r="H105" i="1"/>
  <c r="G105" i="1"/>
  <c r="J105" i="1" s="1"/>
  <c r="Q103" i="1"/>
  <c r="O103" i="1"/>
  <c r="P103" i="1" s="1"/>
  <c r="R103" i="1" s="1"/>
  <c r="M103" i="1"/>
  <c r="K103" i="1"/>
  <c r="L103" i="1" s="1"/>
  <c r="N103" i="1" s="1"/>
  <c r="J103" i="1"/>
  <c r="I103" i="1"/>
  <c r="H103" i="1"/>
  <c r="G103" i="1"/>
  <c r="R101" i="1"/>
  <c r="Q101" i="1"/>
  <c r="O101" i="1"/>
  <c r="P101" i="1" s="1"/>
  <c r="N101" i="1"/>
  <c r="M101" i="1"/>
  <c r="K101" i="1"/>
  <c r="L101" i="1" s="1"/>
  <c r="J101" i="1"/>
  <c r="I101" i="1"/>
  <c r="H101" i="1"/>
  <c r="G101" i="1"/>
  <c r="Q99" i="1"/>
  <c r="O99" i="1"/>
  <c r="P99" i="1" s="1"/>
  <c r="R99" i="1" s="1"/>
  <c r="M99" i="1"/>
  <c r="K99" i="1"/>
  <c r="L99" i="1" s="1"/>
  <c r="N99" i="1" s="1"/>
  <c r="J99" i="1"/>
  <c r="I99" i="1"/>
  <c r="H99" i="1"/>
  <c r="G99" i="1"/>
  <c r="R97" i="1"/>
  <c r="Q97" i="1"/>
  <c r="O97" i="1"/>
  <c r="P97" i="1" s="1"/>
  <c r="N97" i="1"/>
  <c r="M97" i="1"/>
  <c r="K97" i="1"/>
  <c r="L97" i="1" s="1"/>
  <c r="J97" i="1"/>
  <c r="I97" i="1"/>
  <c r="H97" i="1"/>
  <c r="G97" i="1"/>
  <c r="Q95" i="1"/>
  <c r="O95" i="1"/>
  <c r="P95" i="1" s="1"/>
  <c r="R95" i="1" s="1"/>
  <c r="M95" i="1"/>
  <c r="K95" i="1"/>
  <c r="L95" i="1" s="1"/>
  <c r="N95" i="1" s="1"/>
  <c r="J95" i="1"/>
  <c r="I95" i="1"/>
  <c r="H95" i="1"/>
  <c r="G95" i="1"/>
  <c r="R93" i="1"/>
  <c r="Q93" i="1"/>
  <c r="O93" i="1"/>
  <c r="P93" i="1" s="1"/>
  <c r="N93" i="1"/>
  <c r="M93" i="1"/>
  <c r="K93" i="1"/>
  <c r="L93" i="1" s="1"/>
  <c r="J93" i="1"/>
  <c r="I93" i="1"/>
  <c r="H93" i="1"/>
  <c r="G93" i="1"/>
  <c r="Q91" i="1"/>
  <c r="O91" i="1"/>
  <c r="P91" i="1" s="1"/>
  <c r="R91" i="1" s="1"/>
  <c r="M91" i="1"/>
  <c r="K91" i="1"/>
  <c r="L91" i="1" s="1"/>
  <c r="N91" i="1" s="1"/>
  <c r="J91" i="1"/>
  <c r="I91" i="1"/>
  <c r="H91" i="1"/>
  <c r="G91" i="1"/>
  <c r="R89" i="1"/>
  <c r="Q89" i="1"/>
  <c r="O89" i="1"/>
  <c r="P89" i="1" s="1"/>
  <c r="N89" i="1"/>
  <c r="M89" i="1"/>
  <c r="K89" i="1"/>
  <c r="L89" i="1" s="1"/>
  <c r="J89" i="1"/>
  <c r="I89" i="1"/>
  <c r="H89" i="1"/>
  <c r="G89" i="1"/>
  <c r="Q87" i="1"/>
  <c r="O87" i="1"/>
  <c r="P87" i="1" s="1"/>
  <c r="R87" i="1" s="1"/>
  <c r="M87" i="1"/>
  <c r="K87" i="1"/>
  <c r="L87" i="1" s="1"/>
  <c r="N87" i="1" s="1"/>
  <c r="J87" i="1"/>
  <c r="I87" i="1"/>
  <c r="H87" i="1"/>
  <c r="G87" i="1"/>
  <c r="R85" i="1"/>
  <c r="Q85" i="1"/>
  <c r="O85" i="1"/>
  <c r="P85" i="1" s="1"/>
  <c r="N85" i="1"/>
  <c r="M85" i="1"/>
  <c r="K85" i="1"/>
  <c r="L85" i="1" s="1"/>
  <c r="J85" i="1"/>
  <c r="I85" i="1"/>
  <c r="H85" i="1"/>
  <c r="G85" i="1"/>
  <c r="Q83" i="1"/>
  <c r="O83" i="1"/>
  <c r="P83" i="1" s="1"/>
  <c r="R83" i="1" s="1"/>
  <c r="M83" i="1"/>
  <c r="K83" i="1"/>
  <c r="L83" i="1" s="1"/>
  <c r="N83" i="1" s="1"/>
  <c r="J83" i="1"/>
  <c r="I83" i="1"/>
  <c r="H83" i="1"/>
  <c r="G83" i="1"/>
  <c r="R81" i="1"/>
  <c r="Q81" i="1"/>
  <c r="O81" i="1"/>
  <c r="P81" i="1" s="1"/>
  <c r="N81" i="1"/>
  <c r="M81" i="1"/>
  <c r="K81" i="1"/>
  <c r="L81" i="1" s="1"/>
  <c r="J81" i="1"/>
  <c r="I81" i="1"/>
  <c r="H81" i="1"/>
  <c r="G81" i="1"/>
  <c r="Q79" i="1"/>
  <c r="O79" i="1"/>
  <c r="P79" i="1" s="1"/>
  <c r="R79" i="1" s="1"/>
  <c r="M79" i="1"/>
  <c r="K79" i="1"/>
  <c r="L79" i="1" s="1"/>
  <c r="N79" i="1" s="1"/>
  <c r="J79" i="1"/>
  <c r="I79" i="1"/>
  <c r="H79" i="1"/>
  <c r="G79" i="1"/>
  <c r="R77" i="1"/>
  <c r="Q77" i="1"/>
  <c r="O77" i="1"/>
  <c r="P77" i="1" s="1"/>
  <c r="N77" i="1"/>
  <c r="M77" i="1"/>
  <c r="K77" i="1"/>
  <c r="L77" i="1" s="1"/>
  <c r="J77" i="1"/>
  <c r="I77" i="1"/>
  <c r="H77" i="1"/>
  <c r="G77" i="1"/>
  <c r="Q75" i="1"/>
  <c r="O75" i="1"/>
  <c r="P75" i="1" s="1"/>
  <c r="R75" i="1" s="1"/>
  <c r="M75" i="1"/>
  <c r="K75" i="1"/>
  <c r="L75" i="1" s="1"/>
  <c r="N75" i="1" s="1"/>
  <c r="J75" i="1"/>
  <c r="I75" i="1"/>
  <c r="H75" i="1"/>
  <c r="G75" i="1"/>
  <c r="R73" i="1"/>
  <c r="Q73" i="1"/>
  <c r="O73" i="1"/>
  <c r="P73" i="1" s="1"/>
  <c r="N73" i="1"/>
  <c r="M73" i="1"/>
  <c r="K73" i="1"/>
  <c r="L73" i="1" s="1"/>
  <c r="J73" i="1"/>
  <c r="I73" i="1"/>
  <c r="H73" i="1"/>
  <c r="G73" i="1"/>
  <c r="Q71" i="1"/>
  <c r="O71" i="1"/>
  <c r="P71" i="1" s="1"/>
  <c r="R71" i="1" s="1"/>
  <c r="M71" i="1"/>
  <c r="K71" i="1"/>
  <c r="L71" i="1" s="1"/>
  <c r="N71" i="1" s="1"/>
  <c r="J71" i="1"/>
  <c r="I71" i="1"/>
  <c r="H71" i="1"/>
  <c r="G71" i="1"/>
  <c r="R69" i="1"/>
  <c r="Q69" i="1"/>
  <c r="O69" i="1"/>
  <c r="P69" i="1" s="1"/>
  <c r="N69" i="1"/>
  <c r="M69" i="1"/>
  <c r="K69" i="1"/>
  <c r="L69" i="1" s="1"/>
  <c r="J69" i="1"/>
  <c r="I69" i="1"/>
  <c r="H69" i="1"/>
  <c r="G69" i="1"/>
  <c r="Q67" i="1"/>
  <c r="O67" i="1"/>
  <c r="P67" i="1" s="1"/>
  <c r="R67" i="1" s="1"/>
  <c r="M67" i="1"/>
  <c r="K67" i="1"/>
  <c r="L67" i="1" s="1"/>
  <c r="N67" i="1" s="1"/>
  <c r="J67" i="1"/>
  <c r="I67" i="1"/>
  <c r="H67" i="1"/>
  <c r="G67" i="1"/>
  <c r="R65" i="1"/>
  <c r="Q65" i="1"/>
  <c r="O65" i="1"/>
  <c r="P65" i="1" s="1"/>
  <c r="N65" i="1"/>
  <c r="M65" i="1"/>
  <c r="K65" i="1"/>
  <c r="L65" i="1" s="1"/>
  <c r="J65" i="1"/>
  <c r="I65" i="1"/>
  <c r="H65" i="1"/>
  <c r="G65" i="1"/>
  <c r="Q63" i="1"/>
  <c r="O63" i="1"/>
  <c r="P63" i="1" s="1"/>
  <c r="R63" i="1" s="1"/>
  <c r="M63" i="1"/>
  <c r="K63" i="1"/>
  <c r="L63" i="1" s="1"/>
  <c r="N63" i="1" s="1"/>
  <c r="J63" i="1"/>
  <c r="I63" i="1"/>
  <c r="H63" i="1"/>
  <c r="G63" i="1"/>
  <c r="R61" i="1"/>
  <c r="Q61" i="1"/>
  <c r="O61" i="1"/>
  <c r="P61" i="1" s="1"/>
  <c r="N61" i="1"/>
  <c r="M61" i="1"/>
  <c r="K61" i="1"/>
  <c r="L61" i="1" s="1"/>
  <c r="J61" i="1"/>
  <c r="I61" i="1"/>
  <c r="H61" i="1"/>
  <c r="G61" i="1"/>
  <c r="Q59" i="1"/>
  <c r="O59" i="1"/>
  <c r="P59" i="1" s="1"/>
  <c r="R59" i="1" s="1"/>
  <c r="M59" i="1"/>
  <c r="K59" i="1"/>
  <c r="L59" i="1" s="1"/>
  <c r="N59" i="1" s="1"/>
  <c r="J59" i="1"/>
  <c r="I59" i="1"/>
  <c r="H59" i="1"/>
  <c r="G59" i="1"/>
  <c r="R57" i="1"/>
  <c r="Q57" i="1"/>
  <c r="O57" i="1"/>
  <c r="P57" i="1" s="1"/>
  <c r="N57" i="1"/>
  <c r="M57" i="1"/>
  <c r="K57" i="1"/>
  <c r="L57" i="1" s="1"/>
  <c r="J57" i="1"/>
  <c r="I57" i="1"/>
  <c r="H57" i="1"/>
  <c r="G57" i="1"/>
  <c r="Q55" i="1"/>
  <c r="O55" i="1"/>
  <c r="P55" i="1" s="1"/>
  <c r="R55" i="1" s="1"/>
  <c r="M55" i="1"/>
  <c r="K55" i="1"/>
  <c r="L55" i="1" s="1"/>
  <c r="N55" i="1" s="1"/>
  <c r="J55" i="1"/>
  <c r="I55" i="1"/>
  <c r="H55" i="1"/>
  <c r="G55" i="1"/>
  <c r="R53" i="1"/>
  <c r="Q53" i="1"/>
  <c r="O53" i="1"/>
  <c r="P53" i="1" s="1"/>
  <c r="N53" i="1"/>
  <c r="M53" i="1"/>
  <c r="K53" i="1"/>
  <c r="L53" i="1" s="1"/>
  <c r="J53" i="1"/>
  <c r="I53" i="1"/>
  <c r="H53" i="1"/>
  <c r="G53" i="1"/>
  <c r="Q51" i="1"/>
  <c r="O51" i="1"/>
  <c r="P51" i="1" s="1"/>
  <c r="R51" i="1" s="1"/>
  <c r="M51" i="1"/>
  <c r="K51" i="1"/>
  <c r="L51" i="1" s="1"/>
  <c r="N51" i="1" s="1"/>
  <c r="J51" i="1"/>
  <c r="I51" i="1"/>
  <c r="H51" i="1"/>
  <c r="G51" i="1"/>
  <c r="R49" i="1"/>
  <c r="Q49" i="1"/>
  <c r="O49" i="1"/>
  <c r="P49" i="1" s="1"/>
  <c r="N49" i="1"/>
  <c r="M49" i="1"/>
  <c r="K49" i="1"/>
  <c r="L49" i="1" s="1"/>
  <c r="J49" i="1"/>
  <c r="I49" i="1"/>
  <c r="H49" i="1"/>
  <c r="G49" i="1"/>
  <c r="Q47" i="1"/>
  <c r="O47" i="1"/>
  <c r="P47" i="1" s="1"/>
  <c r="R47" i="1" s="1"/>
  <c r="M47" i="1"/>
  <c r="K47" i="1"/>
  <c r="L47" i="1" s="1"/>
  <c r="N47" i="1" s="1"/>
  <c r="J47" i="1"/>
  <c r="I47" i="1"/>
  <c r="H47" i="1"/>
  <c r="G47" i="1"/>
  <c r="R45" i="1"/>
  <c r="Q45" i="1"/>
  <c r="O45" i="1"/>
  <c r="P45" i="1" s="1"/>
  <c r="N45" i="1"/>
  <c r="M45" i="1"/>
  <c r="K45" i="1"/>
  <c r="L45" i="1" s="1"/>
  <c r="J45" i="1"/>
  <c r="I45" i="1"/>
  <c r="H45" i="1"/>
  <c r="G45" i="1"/>
  <c r="Q43" i="1"/>
  <c r="O43" i="1"/>
  <c r="P43" i="1" s="1"/>
  <c r="R43" i="1" s="1"/>
  <c r="M43" i="1"/>
  <c r="K43" i="1"/>
  <c r="L43" i="1" s="1"/>
  <c r="N43" i="1" s="1"/>
  <c r="J43" i="1"/>
  <c r="I43" i="1"/>
  <c r="H43" i="1"/>
  <c r="G43" i="1"/>
  <c r="R41" i="1"/>
  <c r="Q41" i="1"/>
  <c r="O41" i="1"/>
  <c r="P41" i="1" s="1"/>
  <c r="N41" i="1"/>
  <c r="M41" i="1"/>
  <c r="K41" i="1"/>
  <c r="L41" i="1" s="1"/>
  <c r="J41" i="1"/>
  <c r="I41" i="1"/>
  <c r="H41" i="1"/>
  <c r="G41" i="1"/>
  <c r="Q39" i="1"/>
  <c r="O39" i="1"/>
  <c r="P39" i="1" s="1"/>
  <c r="R39" i="1" s="1"/>
  <c r="M39" i="1"/>
  <c r="K39" i="1"/>
  <c r="L39" i="1" s="1"/>
  <c r="N39" i="1" s="1"/>
  <c r="J39" i="1"/>
  <c r="I39" i="1"/>
  <c r="H39" i="1"/>
  <c r="G39" i="1"/>
  <c r="R37" i="1"/>
  <c r="Q37" i="1"/>
  <c r="O37" i="1"/>
  <c r="P37" i="1" s="1"/>
  <c r="N37" i="1"/>
  <c r="M37" i="1"/>
  <c r="K37" i="1"/>
  <c r="L37" i="1" s="1"/>
  <c r="J37" i="1"/>
  <c r="I37" i="1"/>
  <c r="H37" i="1"/>
  <c r="G37" i="1"/>
  <c r="Q35" i="1"/>
  <c r="O35" i="1"/>
  <c r="P35" i="1" s="1"/>
  <c r="R35" i="1" s="1"/>
  <c r="M35" i="1"/>
  <c r="K35" i="1"/>
  <c r="L35" i="1" s="1"/>
  <c r="N35" i="1" s="1"/>
  <c r="J35" i="1"/>
  <c r="I35" i="1"/>
  <c r="H35" i="1"/>
  <c r="G35" i="1"/>
  <c r="R33" i="1"/>
  <c r="Q33" i="1"/>
  <c r="O33" i="1"/>
  <c r="P33" i="1" s="1"/>
  <c r="M33" i="1"/>
  <c r="N33" i="1" s="1"/>
  <c r="K33" i="1"/>
  <c r="L33" i="1" s="1"/>
  <c r="I33" i="1"/>
  <c r="J33" i="1" s="1"/>
  <c r="H33" i="1"/>
  <c r="G33" i="1"/>
  <c r="Q31" i="1"/>
  <c r="O31" i="1"/>
  <c r="P31" i="1" s="1"/>
  <c r="R31" i="1" s="1"/>
  <c r="M31" i="1"/>
  <c r="K31" i="1"/>
  <c r="L31" i="1" s="1"/>
  <c r="N31" i="1" s="1"/>
  <c r="J31" i="1"/>
  <c r="I31" i="1"/>
  <c r="H31" i="1"/>
  <c r="G31" i="1"/>
  <c r="R29" i="1"/>
  <c r="Q29" i="1"/>
  <c r="O29" i="1"/>
  <c r="P29" i="1" s="1"/>
  <c r="M29" i="1"/>
  <c r="N29" i="1" s="1"/>
  <c r="K29" i="1"/>
  <c r="L29" i="1" s="1"/>
  <c r="I29" i="1"/>
  <c r="J29" i="1" s="1"/>
  <c r="H29" i="1"/>
  <c r="G29" i="1"/>
  <c r="Q27" i="1"/>
  <c r="O27" i="1"/>
  <c r="P27" i="1" s="1"/>
  <c r="R27" i="1" s="1"/>
  <c r="M27" i="1"/>
  <c r="K27" i="1"/>
  <c r="L27" i="1" s="1"/>
  <c r="N27" i="1" s="1"/>
  <c r="J27" i="1"/>
  <c r="I27" i="1"/>
  <c r="H27" i="1"/>
  <c r="G27" i="1"/>
  <c r="R25" i="1"/>
  <c r="Q25" i="1"/>
  <c r="O25" i="1"/>
  <c r="P25" i="1" s="1"/>
  <c r="M25" i="1"/>
  <c r="N25" i="1" s="1"/>
  <c r="K25" i="1"/>
  <c r="L25" i="1" s="1"/>
  <c r="I25" i="1"/>
  <c r="J25" i="1" s="1"/>
  <c r="H25" i="1"/>
  <c r="G25" i="1"/>
  <c r="Q23" i="1"/>
  <c r="O23" i="1"/>
  <c r="P23" i="1" s="1"/>
  <c r="R23" i="1" s="1"/>
  <c r="M23" i="1"/>
  <c r="K23" i="1"/>
  <c r="L23" i="1" s="1"/>
  <c r="N23" i="1" s="1"/>
  <c r="J23" i="1"/>
  <c r="I23" i="1"/>
  <c r="H23" i="1"/>
  <c r="G23" i="1"/>
  <c r="R21" i="1"/>
  <c r="Q21" i="1"/>
  <c r="O21" i="1"/>
  <c r="P21" i="1" s="1"/>
  <c r="M21" i="1"/>
  <c r="K21" i="1"/>
  <c r="L21" i="1" s="1"/>
  <c r="N21" i="1" s="1"/>
  <c r="I21" i="1"/>
  <c r="J21" i="1" s="1"/>
  <c r="H21" i="1"/>
  <c r="G21" i="1"/>
  <c r="Q19" i="1"/>
  <c r="O19" i="1"/>
  <c r="P19" i="1" s="1"/>
  <c r="R19" i="1" s="1"/>
  <c r="M19" i="1"/>
  <c r="K19" i="1"/>
  <c r="L19" i="1" s="1"/>
  <c r="N19" i="1" s="1"/>
  <c r="I19" i="1"/>
  <c r="J19" i="1" s="1"/>
  <c r="H19" i="1"/>
  <c r="G19" i="1"/>
  <c r="Q17" i="1"/>
  <c r="O17" i="1"/>
  <c r="P17" i="1" s="1"/>
  <c r="R17" i="1" s="1"/>
  <c r="M17" i="1"/>
  <c r="K17" i="1"/>
  <c r="L17" i="1" s="1"/>
  <c r="N17" i="1" s="1"/>
  <c r="I17" i="1"/>
  <c r="J17" i="1" s="1"/>
  <c r="H17" i="1"/>
  <c r="G17" i="1"/>
  <c r="Q15" i="1"/>
  <c r="O15" i="1"/>
  <c r="P15" i="1" s="1"/>
  <c r="R15" i="1" s="1"/>
  <c r="M15" i="1"/>
  <c r="K15" i="1"/>
  <c r="L15" i="1" s="1"/>
  <c r="N15" i="1" s="1"/>
  <c r="I15" i="1"/>
  <c r="J15" i="1" s="1"/>
  <c r="H15" i="1"/>
  <c r="G15" i="1"/>
  <c r="Q13" i="1"/>
  <c r="O13" i="1"/>
  <c r="P13" i="1" s="1"/>
  <c r="R13" i="1" s="1"/>
  <c r="M13" i="1"/>
  <c r="K13" i="1"/>
  <c r="L13" i="1" s="1"/>
  <c r="N13" i="1" s="1"/>
  <c r="I13" i="1"/>
  <c r="J13" i="1" s="1"/>
  <c r="H13" i="1"/>
  <c r="G13" i="1"/>
  <c r="Q11" i="1"/>
  <c r="O11" i="1"/>
  <c r="P11" i="1" s="1"/>
  <c r="R11" i="1" s="1"/>
  <c r="M11" i="1"/>
  <c r="K11" i="1"/>
  <c r="L11" i="1" s="1"/>
  <c r="N11" i="1" s="1"/>
  <c r="I11" i="1"/>
  <c r="J11" i="1" s="1"/>
  <c r="H11" i="1"/>
  <c r="G11" i="1"/>
  <c r="Q9" i="1"/>
  <c r="O9" i="1"/>
  <c r="P9" i="1" s="1"/>
  <c r="R9" i="1" s="1"/>
  <c r="M9" i="1"/>
  <c r="K9" i="1"/>
  <c r="L9" i="1" s="1"/>
  <c r="N9" i="1" s="1"/>
  <c r="I9" i="1"/>
  <c r="J9" i="1" s="1"/>
  <c r="H9" i="1"/>
  <c r="G9" i="1"/>
  <c r="Q7" i="1"/>
  <c r="O7" i="1"/>
  <c r="P7" i="1" s="1"/>
  <c r="R7" i="1" s="1"/>
  <c r="M7" i="1"/>
  <c r="K7" i="1"/>
  <c r="L7" i="1" s="1"/>
  <c r="N7" i="1" s="1"/>
  <c r="I7" i="1"/>
  <c r="J7" i="1" s="1"/>
  <c r="H7" i="1"/>
  <c r="G7" i="1"/>
  <c r="Q5" i="1"/>
  <c r="O5" i="1"/>
  <c r="P5" i="1" s="1"/>
  <c r="R5" i="1" s="1"/>
  <c r="M5" i="1"/>
  <c r="K5" i="1"/>
  <c r="L5" i="1" s="1"/>
  <c r="N5" i="1" s="1"/>
  <c r="I5" i="1"/>
  <c r="J5" i="1" s="1"/>
  <c r="H5" i="1"/>
  <c r="G5" i="1"/>
  <c r="Q3" i="1"/>
  <c r="O3" i="1"/>
  <c r="P3" i="1" s="1"/>
  <c r="R3" i="1" s="1"/>
  <c r="M3" i="1"/>
  <c r="K3" i="1"/>
  <c r="L3" i="1" s="1"/>
  <c r="N3" i="1" s="1"/>
  <c r="I3" i="1"/>
  <c r="J3" i="1" s="1"/>
  <c r="H3" i="1"/>
  <c r="G3" i="1"/>
</calcChain>
</file>

<file path=xl/sharedStrings.xml><?xml version="1.0" encoding="utf-8"?>
<sst xmlns="http://schemas.openxmlformats.org/spreadsheetml/2006/main" count="19" uniqueCount="19">
  <si>
    <r>
      <t>2015</t>
    </r>
    <r>
      <rPr>
        <b/>
        <sz val="14"/>
        <color theme="1"/>
        <rFont val="仿宋"/>
        <family val="3"/>
        <charset val="134"/>
      </rPr>
      <t>年对部分市场小麦粉的加工精度测定数据及重复性</t>
    </r>
    <phoneticPr fontId="3" type="noConversion"/>
  </si>
  <si>
    <t>序
号</t>
    <phoneticPr fontId="3" type="noConversion"/>
  </si>
  <si>
    <r>
      <t>L</t>
    </r>
    <r>
      <rPr>
        <b/>
        <vertAlign val="superscript"/>
        <sz val="8"/>
        <color theme="1"/>
        <rFont val="Arial"/>
        <family val="2"/>
      </rPr>
      <t>*</t>
    </r>
    <phoneticPr fontId="3" type="noConversion"/>
  </si>
  <si>
    <r>
      <t>a</t>
    </r>
    <r>
      <rPr>
        <b/>
        <vertAlign val="superscript"/>
        <sz val="8"/>
        <color theme="1"/>
        <rFont val="Arial"/>
        <family val="2"/>
      </rPr>
      <t>*</t>
    </r>
    <phoneticPr fontId="3" type="noConversion"/>
  </si>
  <si>
    <r>
      <t>b</t>
    </r>
    <r>
      <rPr>
        <b/>
        <vertAlign val="superscript"/>
        <sz val="8"/>
        <color theme="1"/>
        <rFont val="Arial"/>
        <family val="2"/>
      </rPr>
      <t>*</t>
    </r>
    <phoneticPr fontId="3" type="noConversion"/>
  </si>
  <si>
    <r>
      <rPr>
        <b/>
        <sz val="8"/>
        <color theme="1"/>
        <rFont val="仿宋"/>
        <family val="3"/>
        <charset val="134"/>
      </rPr>
      <t>白度</t>
    </r>
    <phoneticPr fontId="3" type="noConversion"/>
  </si>
  <si>
    <r>
      <rPr>
        <b/>
        <sz val="8"/>
        <color theme="1"/>
        <rFont val="仿宋"/>
        <family val="3"/>
        <charset val="134"/>
      </rPr>
      <t>麸星含量
（</t>
    </r>
    <r>
      <rPr>
        <b/>
        <sz val="8"/>
        <color theme="1"/>
        <rFont val="Arial"/>
        <family val="2"/>
      </rPr>
      <t>%</t>
    </r>
    <r>
      <rPr>
        <b/>
        <sz val="8"/>
        <color theme="1"/>
        <rFont val="仿宋"/>
        <family val="3"/>
        <charset val="134"/>
      </rPr>
      <t>）</t>
    </r>
    <phoneticPr fontId="3" type="noConversion"/>
  </si>
  <si>
    <r>
      <t>ΔL</t>
    </r>
    <r>
      <rPr>
        <b/>
        <vertAlign val="superscript"/>
        <sz val="8"/>
        <color theme="1"/>
        <rFont val="Arial"/>
        <family val="2"/>
      </rPr>
      <t>*</t>
    </r>
    <phoneticPr fontId="3" type="noConversion"/>
  </si>
  <si>
    <r>
      <t>Δa</t>
    </r>
    <r>
      <rPr>
        <b/>
        <vertAlign val="superscript"/>
        <sz val="8"/>
        <color theme="1"/>
        <rFont val="Arial"/>
        <family val="2"/>
      </rPr>
      <t>*</t>
    </r>
    <phoneticPr fontId="3" type="noConversion"/>
  </si>
  <si>
    <r>
      <t>Δb</t>
    </r>
    <r>
      <rPr>
        <b/>
        <vertAlign val="superscript"/>
        <sz val="8"/>
        <color theme="1"/>
        <rFont val="Arial"/>
        <family val="2"/>
      </rPr>
      <t>*</t>
    </r>
    <phoneticPr fontId="3" type="noConversion"/>
  </si>
  <si>
    <r>
      <t>ΔE</t>
    </r>
    <r>
      <rPr>
        <b/>
        <vertAlign val="superscript"/>
        <sz val="8"/>
        <color theme="1"/>
        <rFont val="Arial"/>
        <family val="2"/>
      </rPr>
      <t>*</t>
    </r>
    <r>
      <rPr>
        <b/>
        <sz val="8"/>
        <color theme="1"/>
        <rFont val="Arial"/>
        <family val="2"/>
      </rPr>
      <t>ab</t>
    </r>
    <phoneticPr fontId="3" type="noConversion"/>
  </si>
  <si>
    <r>
      <rPr>
        <b/>
        <sz val="8"/>
        <color theme="1"/>
        <rFont val="仿宋"/>
        <family val="3"/>
        <charset val="134"/>
      </rPr>
      <t>白度</t>
    </r>
    <r>
      <rPr>
        <b/>
        <vertAlign val="subscript"/>
        <sz val="8"/>
        <color theme="1"/>
        <rFont val="仿宋"/>
        <family val="3"/>
        <charset val="134"/>
      </rPr>
      <t>平均</t>
    </r>
    <phoneticPr fontId="3" type="noConversion"/>
  </si>
  <si>
    <r>
      <rPr>
        <b/>
        <sz val="8"/>
        <color theme="1"/>
        <rFont val="仿宋"/>
        <family val="3"/>
        <charset val="134"/>
      </rPr>
      <t>白度</t>
    </r>
    <r>
      <rPr>
        <b/>
        <vertAlign val="subscript"/>
        <sz val="8"/>
        <color theme="1"/>
        <rFont val="仿宋"/>
        <family val="3"/>
        <charset val="134"/>
      </rPr>
      <t>平均</t>
    </r>
    <r>
      <rPr>
        <b/>
        <sz val="8"/>
        <color theme="1"/>
        <rFont val="Arial"/>
        <family val="2"/>
      </rPr>
      <t>*0.5%</t>
    </r>
    <phoneticPr fontId="3" type="noConversion"/>
  </si>
  <si>
    <r>
      <t>Δ</t>
    </r>
    <r>
      <rPr>
        <b/>
        <sz val="8"/>
        <color theme="1"/>
        <rFont val="宋体"/>
        <family val="3"/>
        <charset val="134"/>
      </rPr>
      <t>白度</t>
    </r>
    <phoneticPr fontId="3" type="noConversion"/>
  </si>
  <si>
    <r>
      <t>麸星</t>
    </r>
    <r>
      <rPr>
        <b/>
        <vertAlign val="subscript"/>
        <sz val="8"/>
        <color theme="1"/>
        <rFont val="仿宋"/>
        <family val="3"/>
        <charset val="134"/>
      </rPr>
      <t>平均</t>
    </r>
    <phoneticPr fontId="3" type="noConversion"/>
  </si>
  <si>
    <r>
      <rPr>
        <b/>
        <sz val="8"/>
        <color theme="1"/>
        <rFont val="仿宋"/>
        <family val="3"/>
        <charset val="134"/>
      </rPr>
      <t>麸星</t>
    </r>
    <r>
      <rPr>
        <b/>
        <vertAlign val="subscript"/>
        <sz val="8"/>
        <color theme="1"/>
        <rFont val="仿宋"/>
        <family val="3"/>
        <charset val="134"/>
      </rPr>
      <t>平均</t>
    </r>
    <r>
      <rPr>
        <b/>
        <sz val="8"/>
        <color theme="1"/>
        <rFont val="Arial"/>
        <family val="2"/>
      </rPr>
      <t>*10%</t>
    </r>
    <phoneticPr fontId="3" type="noConversion"/>
  </si>
  <si>
    <r>
      <t>Δ</t>
    </r>
    <r>
      <rPr>
        <b/>
        <sz val="8"/>
        <color theme="1"/>
        <rFont val="宋体"/>
        <family val="3"/>
        <charset val="134"/>
      </rPr>
      <t>麸星</t>
    </r>
    <phoneticPr fontId="3" type="noConversion"/>
  </si>
  <si>
    <r>
      <rPr>
        <b/>
        <sz val="8"/>
        <color theme="1"/>
        <rFont val="仿宋"/>
        <family val="3"/>
        <charset val="134"/>
      </rPr>
      <t>麸星</t>
    </r>
    <r>
      <rPr>
        <b/>
        <vertAlign val="subscript"/>
        <sz val="8"/>
        <color theme="1"/>
        <rFont val="仿宋"/>
        <family val="3"/>
        <charset val="134"/>
      </rPr>
      <t>平均</t>
    </r>
    <r>
      <rPr>
        <b/>
        <sz val="8"/>
        <color theme="1"/>
        <rFont val="Arial"/>
        <family val="2"/>
      </rPr>
      <t>*10%-Δ</t>
    </r>
    <r>
      <rPr>
        <b/>
        <sz val="8"/>
        <color theme="1"/>
        <rFont val="仿宋"/>
        <family val="3"/>
        <charset val="134"/>
      </rPr>
      <t>麸星</t>
    </r>
    <phoneticPr fontId="3" type="noConversion"/>
  </si>
  <si>
    <r>
      <rPr>
        <b/>
        <sz val="8"/>
        <color theme="1"/>
        <rFont val="仿宋"/>
        <family val="3"/>
        <charset val="134"/>
      </rPr>
      <t>白度</t>
    </r>
    <r>
      <rPr>
        <b/>
        <vertAlign val="subscript"/>
        <sz val="8"/>
        <color theme="1"/>
        <rFont val="仿宋"/>
        <family val="3"/>
        <charset val="134"/>
      </rPr>
      <t>平均</t>
    </r>
    <r>
      <rPr>
        <b/>
        <sz val="8"/>
        <color theme="1"/>
        <rFont val="Arial"/>
        <family val="2"/>
      </rPr>
      <t>*0.5-Δ</t>
    </r>
    <r>
      <rPr>
        <b/>
        <sz val="8"/>
        <color theme="1"/>
        <rFont val="仿宋"/>
        <family val="3"/>
        <charset val="134"/>
      </rPr>
      <t>白度</t>
    </r>
    <r>
      <rPr>
        <b/>
        <sz val="8"/>
        <color theme="1"/>
        <rFont val="Arial"/>
        <family val="2"/>
      </rPr>
      <t xml:space="preserve"> 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</si>
</sst>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_);[Red]\(#,##0.00\)"/>
    <numFmt numFmtId="177" formatCode="0.00_ "/>
  </numFmts>
  <fonts count="12" x14ac:knownFonts="1">
    <font>
      <sz val="11"/>
      <color theme="1"/>
      <name val="宋体"/>
      <family val="2"/>
      <charset val="134"/>
      <scheme val="minor"/>
    </font>
    <font>
      <b/>
      <sz val="14"/>
      <color theme="1"/>
      <name val="Arial"/>
      <family val="2"/>
    </font>
    <font>
      <b/>
      <sz val="14"/>
      <color theme="1"/>
      <name val="仿宋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Arial"/>
      <family val="2"/>
    </font>
    <font>
      <sz val="8"/>
      <color theme="1"/>
      <name val="仿宋"/>
      <family val="3"/>
      <charset val="134"/>
    </font>
    <font>
      <b/>
      <sz val="8"/>
      <color theme="1"/>
      <name val="Arial"/>
      <family val="2"/>
    </font>
    <font>
      <b/>
      <vertAlign val="superscript"/>
      <sz val="8"/>
      <color theme="1"/>
      <name val="Arial"/>
      <family val="2"/>
    </font>
    <font>
      <b/>
      <sz val="8"/>
      <color theme="1"/>
      <name val="仿宋"/>
      <family val="3"/>
      <charset val="134"/>
    </font>
    <font>
      <b/>
      <vertAlign val="subscript"/>
      <sz val="8"/>
      <color theme="1"/>
      <name val="仿宋"/>
      <family val="3"/>
      <charset val="134"/>
    </font>
    <font>
      <b/>
      <sz val="8"/>
      <color theme="1"/>
      <name val="宋体"/>
      <family val="3"/>
      <charset val="134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right" vertical="center"/>
    </xf>
    <xf numFmtId="177" fontId="11" fillId="0" borderId="1" xfId="0" applyNumberFormat="1" applyFont="1" applyBorder="1" applyAlignment="1">
      <alignment horizontal="right" vertical="center"/>
    </xf>
    <xf numFmtId="176" fontId="11" fillId="0" borderId="0" xfId="0" applyNumberFormat="1" applyFont="1">
      <alignment vertical="center"/>
    </xf>
    <xf numFmtId="177" fontId="11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177" fontId="4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right" vertical="center"/>
    </xf>
    <xf numFmtId="176" fontId="11" fillId="0" borderId="1" xfId="0" applyNumberFormat="1" applyFont="1" applyBorder="1" applyAlignment="1">
      <alignment horizontal="center" vertical="center"/>
    </xf>
    <xf numFmtId="177" fontId="11" fillId="0" borderId="1" xfId="0" applyNumberFormat="1" applyFont="1" applyBorder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9"/>
  <sheetViews>
    <sheetView tabSelected="1" topLeftCell="A61" workbookViewId="0">
      <selection activeCell="T10" sqref="T10"/>
    </sheetView>
  </sheetViews>
  <sheetFormatPr defaultRowHeight="14.25" x14ac:dyDescent="0.15"/>
  <cols>
    <col min="1" max="1" width="3.625" style="1" bestFit="1" customWidth="1"/>
    <col min="2" max="2" width="6" style="11" bestFit="1" customWidth="1"/>
    <col min="3" max="3" width="6" style="12" bestFit="1" customWidth="1"/>
    <col min="4" max="4" width="5.25" style="11" bestFit="1" customWidth="1"/>
    <col min="5" max="5" width="6" style="11" bestFit="1" customWidth="1"/>
    <col min="6" max="6" width="8.125" style="20" bestFit="1" customWidth="1"/>
    <col min="7" max="7" width="6.375" style="11" bestFit="1" customWidth="1"/>
    <col min="8" max="9" width="5.5" style="11" bestFit="1" customWidth="1"/>
    <col min="10" max="10" width="5.25" style="11" bestFit="1" customWidth="1"/>
    <col min="11" max="11" width="5.875" style="11" bestFit="1" customWidth="1"/>
    <col min="12" max="12" width="10.5" style="20" bestFit="1" customWidth="1"/>
    <col min="13" max="13" width="5" style="20" bestFit="1" customWidth="1"/>
    <col min="14" max="14" width="14.625" style="21" bestFit="1" customWidth="1"/>
    <col min="15" max="15" width="7" style="11" bestFit="1" customWidth="1"/>
    <col min="16" max="16" width="10.125" style="20" bestFit="1" customWidth="1"/>
    <col min="17" max="17" width="5" style="20" bestFit="1" customWidth="1"/>
    <col min="18" max="18" width="13.5" style="21" bestFit="1" customWidth="1"/>
    <col min="19" max="16384" width="9" style="1"/>
  </cols>
  <sheetData>
    <row r="1" spans="1:18" ht="32.25" customHeight="1" x14ac:dyDescent="0.1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33.75" customHeight="1" x14ac:dyDescent="0.15">
      <c r="A2" s="2" t="s">
        <v>1</v>
      </c>
      <c r="B2" s="3" t="s">
        <v>2</v>
      </c>
      <c r="C2" s="4" t="s">
        <v>3</v>
      </c>
      <c r="D2" s="3" t="s">
        <v>4</v>
      </c>
      <c r="E2" s="5" t="s">
        <v>5</v>
      </c>
      <c r="F2" s="5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6" t="s">
        <v>11</v>
      </c>
      <c r="L2" s="3" t="s">
        <v>12</v>
      </c>
      <c r="M2" s="3" t="s">
        <v>13</v>
      </c>
      <c r="N2" s="4" t="s">
        <v>18</v>
      </c>
      <c r="O2" s="6" t="s">
        <v>14</v>
      </c>
      <c r="P2" s="3" t="s">
        <v>15</v>
      </c>
      <c r="Q2" s="3" t="s">
        <v>16</v>
      </c>
      <c r="R2" s="4" t="s">
        <v>17</v>
      </c>
    </row>
    <row r="3" spans="1:18" x14ac:dyDescent="0.15">
      <c r="A3" s="14">
        <v>1</v>
      </c>
      <c r="B3" s="7">
        <v>94.03</v>
      </c>
      <c r="C3" s="8">
        <v>-1.31</v>
      </c>
      <c r="D3" s="7">
        <v>8.02</v>
      </c>
      <c r="E3" s="7">
        <v>81.099999999999994</v>
      </c>
      <c r="F3" s="22">
        <v>0.4</v>
      </c>
      <c r="G3" s="15">
        <f>ABS(B3-B4)</f>
        <v>3.9999999999992042E-2</v>
      </c>
      <c r="H3" s="15">
        <f t="shared" ref="H3:I3" si="0">ABS(C3-C4)</f>
        <v>5.0000000000000044E-2</v>
      </c>
      <c r="I3" s="15">
        <f t="shared" si="0"/>
        <v>0.28999999999999915</v>
      </c>
      <c r="J3" s="15">
        <f>SQRT(G3*G3+H3*H3+I3*I3)</f>
        <v>0.29698484809834808</v>
      </c>
      <c r="K3" s="15">
        <f>AVERAGE(E3:E4)</f>
        <v>81.164999999999992</v>
      </c>
      <c r="L3" s="16">
        <f>K3*0.5%</f>
        <v>0.40582499999999999</v>
      </c>
      <c r="M3" s="16">
        <f>ABS(E3-E4)</f>
        <v>0.13000000000000966</v>
      </c>
      <c r="N3" s="17">
        <f>L3-M3</f>
        <v>0.27582499999999033</v>
      </c>
      <c r="O3" s="15">
        <f>AVERAGE(F3:F4)</f>
        <v>0.41000000000000003</v>
      </c>
      <c r="P3" s="16">
        <f>O3*0.1</f>
        <v>4.1000000000000009E-2</v>
      </c>
      <c r="Q3" s="16">
        <f>ABS(F3-F4)</f>
        <v>1.9999999999999962E-2</v>
      </c>
      <c r="R3" s="17">
        <f>P3-Q3</f>
        <v>2.1000000000000046E-2</v>
      </c>
    </row>
    <row r="4" spans="1:18" x14ac:dyDescent="0.15">
      <c r="A4" s="14"/>
      <c r="B4" s="7">
        <v>94.07</v>
      </c>
      <c r="C4" s="8">
        <v>-1.26</v>
      </c>
      <c r="D4" s="7">
        <v>7.73</v>
      </c>
      <c r="E4" s="7">
        <v>81.23</v>
      </c>
      <c r="F4" s="22">
        <v>0.42</v>
      </c>
      <c r="G4" s="15"/>
      <c r="H4" s="15"/>
      <c r="I4" s="15"/>
      <c r="J4" s="15"/>
      <c r="K4" s="15"/>
      <c r="L4" s="16"/>
      <c r="M4" s="16"/>
      <c r="N4" s="17"/>
      <c r="O4" s="15"/>
      <c r="P4" s="16"/>
      <c r="Q4" s="16"/>
      <c r="R4" s="17"/>
    </row>
    <row r="5" spans="1:18" x14ac:dyDescent="0.15">
      <c r="A5" s="14">
        <v>2</v>
      </c>
      <c r="B5" s="7">
        <v>94</v>
      </c>
      <c r="C5" s="8">
        <v>-1.28</v>
      </c>
      <c r="D5" s="7">
        <v>7.55</v>
      </c>
      <c r="E5" s="7">
        <v>81.03</v>
      </c>
      <c r="F5" s="22">
        <v>0.47</v>
      </c>
      <c r="G5" s="15">
        <f>ABS(B5-B6)</f>
        <v>1.9999999999996021E-2</v>
      </c>
      <c r="H5" s="15">
        <f t="shared" ref="H5:I5" si="1">ABS(C5-C6)</f>
        <v>1.0000000000000009E-2</v>
      </c>
      <c r="I5" s="15">
        <f t="shared" si="1"/>
        <v>0.25</v>
      </c>
      <c r="J5" s="15">
        <f t="shared" ref="J5" si="2">SQRT(G5*G5+H5*H5+I5*I5)</f>
        <v>0.25099800796022237</v>
      </c>
      <c r="K5" s="15">
        <f>AVERAGE(E5:E6)</f>
        <v>81.09</v>
      </c>
      <c r="L5" s="16">
        <f>K5*0.5%</f>
        <v>0.40545000000000003</v>
      </c>
      <c r="M5" s="16">
        <f>ABS(E5-E6)</f>
        <v>0.12000000000000455</v>
      </c>
      <c r="N5" s="17">
        <f t="shared" ref="N5" si="3">L5-M5</f>
        <v>0.28544999999999549</v>
      </c>
      <c r="O5" s="15">
        <f t="shared" ref="O5" si="4">AVERAGE(F5:F6)</f>
        <v>0.46499999999999997</v>
      </c>
      <c r="P5" s="16">
        <f t="shared" ref="P5" si="5">O5*0.1</f>
        <v>4.65E-2</v>
      </c>
      <c r="Q5" s="16">
        <f t="shared" ref="Q5" si="6">ABS(F5-F6)</f>
        <v>9.9999999999999534E-3</v>
      </c>
      <c r="R5" s="17">
        <f t="shared" ref="R5" si="7">P5-Q5</f>
        <v>3.6500000000000046E-2</v>
      </c>
    </row>
    <row r="6" spans="1:18" x14ac:dyDescent="0.15">
      <c r="A6" s="14"/>
      <c r="B6" s="7">
        <v>94.02</v>
      </c>
      <c r="C6" s="8">
        <v>-1.27</v>
      </c>
      <c r="D6" s="7">
        <v>7.8</v>
      </c>
      <c r="E6" s="7">
        <v>81.150000000000006</v>
      </c>
      <c r="F6" s="22">
        <v>0.46</v>
      </c>
      <c r="G6" s="15"/>
      <c r="H6" s="15"/>
      <c r="I6" s="15"/>
      <c r="J6" s="15"/>
      <c r="K6" s="15"/>
      <c r="L6" s="16"/>
      <c r="M6" s="16"/>
      <c r="N6" s="17"/>
      <c r="O6" s="15"/>
      <c r="P6" s="16"/>
      <c r="Q6" s="16"/>
      <c r="R6" s="17"/>
    </row>
    <row r="7" spans="1:18" x14ac:dyDescent="0.15">
      <c r="A7" s="14">
        <v>3</v>
      </c>
      <c r="B7" s="7">
        <v>93.29</v>
      </c>
      <c r="C7" s="8">
        <v>-1.1499999999999999</v>
      </c>
      <c r="D7" s="7">
        <v>6.9</v>
      </c>
      <c r="E7" s="7">
        <v>79.31</v>
      </c>
      <c r="F7" s="22">
        <v>0.9</v>
      </c>
      <c r="G7" s="15">
        <f>ABS(B7-B8)</f>
        <v>7.9999999999998295E-2</v>
      </c>
      <c r="H7" s="15">
        <f t="shared" ref="H7:I7" si="8">ABS(C7-C8)</f>
        <v>2.9999999999999805E-2</v>
      </c>
      <c r="I7" s="15">
        <f t="shared" si="8"/>
        <v>0.26000000000000068</v>
      </c>
      <c r="J7" s="15">
        <f t="shared" ref="J7" si="9">SQRT(G7*G7+H7*H7+I7*I7)</f>
        <v>0.27367864366808031</v>
      </c>
      <c r="K7" s="15">
        <f t="shared" ref="K7" si="10">AVERAGE(E7:E8)</f>
        <v>79.495000000000005</v>
      </c>
      <c r="L7" s="16">
        <f>K7*0.5%</f>
        <v>0.39747500000000002</v>
      </c>
      <c r="M7" s="16">
        <f>ABS(E7-E8)</f>
        <v>0.37000000000000455</v>
      </c>
      <c r="N7" s="17">
        <f t="shared" ref="N7" si="11">L7-M7</f>
        <v>2.7474999999995475E-2</v>
      </c>
      <c r="O7" s="15">
        <f t="shared" ref="O7" si="12">AVERAGE(F7:F8)</f>
        <v>0.91999999999999993</v>
      </c>
      <c r="P7" s="16">
        <f t="shared" ref="P7" si="13">O7*0.1</f>
        <v>9.1999999999999998E-2</v>
      </c>
      <c r="Q7" s="16">
        <f t="shared" ref="Q7" si="14">ABS(F7-F8)</f>
        <v>3.9999999999999925E-2</v>
      </c>
      <c r="R7" s="17">
        <f t="shared" ref="R7" si="15">P7-Q7</f>
        <v>5.2000000000000074E-2</v>
      </c>
    </row>
    <row r="8" spans="1:18" x14ac:dyDescent="0.15">
      <c r="A8" s="14"/>
      <c r="B8" s="7">
        <v>93.37</v>
      </c>
      <c r="C8" s="8">
        <v>-1.1200000000000001</v>
      </c>
      <c r="D8" s="7">
        <v>6.64</v>
      </c>
      <c r="E8" s="7">
        <v>79.680000000000007</v>
      </c>
      <c r="F8" s="22">
        <v>0.94</v>
      </c>
      <c r="G8" s="15"/>
      <c r="H8" s="15"/>
      <c r="I8" s="15"/>
      <c r="J8" s="15"/>
      <c r="K8" s="15"/>
      <c r="L8" s="16"/>
      <c r="M8" s="16"/>
      <c r="N8" s="17"/>
      <c r="O8" s="15"/>
      <c r="P8" s="16"/>
      <c r="Q8" s="16"/>
      <c r="R8" s="17"/>
    </row>
    <row r="9" spans="1:18" x14ac:dyDescent="0.15">
      <c r="A9" s="14">
        <v>4</v>
      </c>
      <c r="B9" s="7">
        <v>93.29</v>
      </c>
      <c r="C9" s="8">
        <v>-1.1399999999999999</v>
      </c>
      <c r="D9" s="7">
        <v>6.75</v>
      </c>
      <c r="E9" s="7">
        <v>79.430000000000007</v>
      </c>
      <c r="F9" s="22">
        <v>0.95</v>
      </c>
      <c r="G9" s="15">
        <f t="shared" ref="G9:I9" si="16">ABS(B9-B10)</f>
        <v>8.99999999999892E-2</v>
      </c>
      <c r="H9" s="15">
        <f t="shared" si="16"/>
        <v>0</v>
      </c>
      <c r="I9" s="15">
        <f t="shared" si="16"/>
        <v>0.20999999999999996</v>
      </c>
      <c r="J9" s="15">
        <f t="shared" ref="J9" si="17">SQRT(G9*G9+H9*H9+I9*I9)</f>
        <v>0.22847319317591297</v>
      </c>
      <c r="K9" s="15">
        <f t="shared" ref="K9" si="18">AVERAGE(E9:E10)</f>
        <v>79.569999999999993</v>
      </c>
      <c r="L9" s="16">
        <f t="shared" ref="L9" si="19">K9*0.5%</f>
        <v>0.39784999999999998</v>
      </c>
      <c r="M9" s="16">
        <f t="shared" ref="M9" si="20">ABS(E9-E10)</f>
        <v>0.27999999999998693</v>
      </c>
      <c r="N9" s="17">
        <f t="shared" ref="N9" si="21">L9-M9</f>
        <v>0.11785000000001306</v>
      </c>
      <c r="O9" s="15">
        <f t="shared" ref="O9" si="22">AVERAGE(F9:F10)</f>
        <v>0.95</v>
      </c>
      <c r="P9" s="16">
        <f t="shared" ref="P9" si="23">O9*0.1</f>
        <v>9.5000000000000001E-2</v>
      </c>
      <c r="Q9" s="16">
        <f t="shared" ref="Q9" si="24">ABS(F9-F10)</f>
        <v>0</v>
      </c>
      <c r="R9" s="17">
        <f t="shared" ref="R9" si="25">P9-Q9</f>
        <v>9.5000000000000001E-2</v>
      </c>
    </row>
    <row r="10" spans="1:18" x14ac:dyDescent="0.15">
      <c r="A10" s="14"/>
      <c r="B10" s="7">
        <v>93.38</v>
      </c>
      <c r="C10" s="8">
        <v>-1.1399999999999999</v>
      </c>
      <c r="D10" s="7">
        <v>6.96</v>
      </c>
      <c r="E10" s="7">
        <v>79.709999999999994</v>
      </c>
      <c r="F10" s="22">
        <v>0.95</v>
      </c>
      <c r="G10" s="15"/>
      <c r="H10" s="15"/>
      <c r="I10" s="15"/>
      <c r="J10" s="15"/>
      <c r="K10" s="15"/>
      <c r="L10" s="16"/>
      <c r="M10" s="16"/>
      <c r="N10" s="17"/>
      <c r="O10" s="15"/>
      <c r="P10" s="16"/>
      <c r="Q10" s="16"/>
      <c r="R10" s="17"/>
    </row>
    <row r="11" spans="1:18" x14ac:dyDescent="0.15">
      <c r="A11" s="14">
        <v>5</v>
      </c>
      <c r="B11" s="7">
        <v>92.53</v>
      </c>
      <c r="C11" s="8">
        <v>-1.02</v>
      </c>
      <c r="D11" s="7">
        <v>6.57</v>
      </c>
      <c r="E11" s="7">
        <v>77.88</v>
      </c>
      <c r="F11" s="22">
        <v>1.5</v>
      </c>
      <c r="G11" s="15">
        <f t="shared" ref="G11:I11" si="26">ABS(B11-B12)</f>
        <v>0.17000000000000171</v>
      </c>
      <c r="H11" s="15">
        <f t="shared" si="26"/>
        <v>5.0000000000000044E-2</v>
      </c>
      <c r="I11" s="15">
        <f t="shared" si="26"/>
        <v>0.62999999999999989</v>
      </c>
      <c r="J11" s="15">
        <f t="shared" ref="J11" si="27">SQRT(G11*G11+H11*H11+I11*I11)</f>
        <v>0.65444633087824744</v>
      </c>
      <c r="K11" s="15">
        <f t="shared" ref="K11" si="28">AVERAGE(E11:E12)</f>
        <v>78.044999999999987</v>
      </c>
      <c r="L11" s="16">
        <f t="shared" ref="L11" si="29">K11*0.5%</f>
        <v>0.39022499999999993</v>
      </c>
      <c r="M11" s="16">
        <f t="shared" ref="M11" si="30">ABS(E11-E12)</f>
        <v>0.32999999999999829</v>
      </c>
      <c r="N11" s="17">
        <f t="shared" ref="N11" si="31">L11-M11</f>
        <v>6.0225000000001638E-2</v>
      </c>
      <c r="O11" s="15">
        <f t="shared" ref="O11" si="32">AVERAGE(F11:F12)</f>
        <v>1.54</v>
      </c>
      <c r="P11" s="16">
        <f t="shared" ref="P11" si="33">O11*0.1</f>
        <v>0.15400000000000003</v>
      </c>
      <c r="Q11" s="16">
        <f t="shared" ref="Q11" si="34">ABS(F11-F12)</f>
        <v>8.0000000000000071E-2</v>
      </c>
      <c r="R11" s="17">
        <f t="shared" ref="R11" si="35">P11-Q11</f>
        <v>7.3999999999999955E-2</v>
      </c>
    </row>
    <row r="12" spans="1:18" x14ac:dyDescent="0.15">
      <c r="A12" s="14"/>
      <c r="B12" s="7">
        <v>92.7</v>
      </c>
      <c r="C12" s="8">
        <v>-1.07</v>
      </c>
      <c r="D12" s="7">
        <v>7.2</v>
      </c>
      <c r="E12" s="7">
        <v>78.209999999999994</v>
      </c>
      <c r="F12" s="22">
        <v>1.58</v>
      </c>
      <c r="G12" s="15"/>
      <c r="H12" s="15"/>
      <c r="I12" s="15"/>
      <c r="J12" s="15"/>
      <c r="K12" s="15"/>
      <c r="L12" s="16"/>
      <c r="M12" s="16"/>
      <c r="N12" s="17"/>
      <c r="O12" s="15"/>
      <c r="P12" s="16"/>
      <c r="Q12" s="16"/>
      <c r="R12" s="17"/>
    </row>
    <row r="13" spans="1:18" x14ac:dyDescent="0.15">
      <c r="A13" s="14">
        <v>6</v>
      </c>
      <c r="B13" s="7">
        <v>92.75</v>
      </c>
      <c r="C13" s="8">
        <v>-1.05</v>
      </c>
      <c r="D13" s="7">
        <v>6.51</v>
      </c>
      <c r="E13" s="7">
        <v>78.23</v>
      </c>
      <c r="F13" s="22">
        <v>1.51</v>
      </c>
      <c r="G13" s="15">
        <f t="shared" ref="G13:I13" si="36">ABS(B13-B14)</f>
        <v>4.9999999999997158E-2</v>
      </c>
      <c r="H13" s="15">
        <f t="shared" si="36"/>
        <v>2.0000000000000018E-2</v>
      </c>
      <c r="I13" s="15">
        <f t="shared" si="36"/>
        <v>0.16000000000000014</v>
      </c>
      <c r="J13" s="15">
        <f t="shared" ref="J13" si="37">SQRT(G13*G13+H13*H13+I13*I13)</f>
        <v>0.16881943016134063</v>
      </c>
      <c r="K13" s="15">
        <f t="shared" ref="K13" si="38">AVERAGE(E13:E14)</f>
        <v>78.215000000000003</v>
      </c>
      <c r="L13" s="16">
        <f t="shared" ref="L13" si="39">K13*0.5%</f>
        <v>0.39107500000000001</v>
      </c>
      <c r="M13" s="16">
        <f t="shared" ref="M13" si="40">ABS(E13-E14)</f>
        <v>3.0000000000001137E-2</v>
      </c>
      <c r="N13" s="17">
        <f t="shared" ref="N13" si="41">L13-M13</f>
        <v>0.36107499999999887</v>
      </c>
      <c r="O13" s="15">
        <f t="shared" ref="O13" si="42">AVERAGE(F13:F14)</f>
        <v>1.51</v>
      </c>
      <c r="P13" s="16">
        <f t="shared" ref="P13" si="43">O13*0.1</f>
        <v>0.15100000000000002</v>
      </c>
      <c r="Q13" s="16">
        <f t="shared" ref="Q13" si="44">ABS(F13-F14)</f>
        <v>0</v>
      </c>
      <c r="R13" s="17">
        <f t="shared" ref="R13" si="45">P13-Q13</f>
        <v>0.15100000000000002</v>
      </c>
    </row>
    <row r="14" spans="1:18" x14ac:dyDescent="0.15">
      <c r="A14" s="14"/>
      <c r="B14" s="7">
        <v>92.7</v>
      </c>
      <c r="C14" s="8">
        <v>-1.03</v>
      </c>
      <c r="D14" s="7">
        <v>6.67</v>
      </c>
      <c r="E14" s="7">
        <v>78.2</v>
      </c>
      <c r="F14" s="22">
        <v>1.51</v>
      </c>
      <c r="G14" s="15"/>
      <c r="H14" s="15"/>
      <c r="I14" s="15"/>
      <c r="J14" s="15"/>
      <c r="K14" s="15"/>
      <c r="L14" s="16"/>
      <c r="M14" s="16"/>
      <c r="N14" s="17"/>
      <c r="O14" s="15"/>
      <c r="P14" s="16"/>
      <c r="Q14" s="16"/>
      <c r="R14" s="17"/>
    </row>
    <row r="15" spans="1:18" x14ac:dyDescent="0.15">
      <c r="A15" s="14">
        <v>7</v>
      </c>
      <c r="B15" s="7">
        <v>92.18</v>
      </c>
      <c r="C15" s="8">
        <v>-1</v>
      </c>
      <c r="D15" s="7">
        <v>7.37</v>
      </c>
      <c r="E15" s="7">
        <v>77.040000000000006</v>
      </c>
      <c r="F15" s="22">
        <v>2.1</v>
      </c>
      <c r="G15" s="15">
        <f t="shared" ref="G15:I15" si="46">ABS(B15-B16)</f>
        <v>4.0000000000006253E-2</v>
      </c>
      <c r="H15" s="15">
        <f t="shared" si="46"/>
        <v>3.0000000000000027E-2</v>
      </c>
      <c r="I15" s="15">
        <f t="shared" si="46"/>
        <v>0.20999999999999996</v>
      </c>
      <c r="J15" s="15">
        <f t="shared" ref="J15" si="47">SQRT(G15*G15+H15*H15+I15*I15)</f>
        <v>0.21587033144923015</v>
      </c>
      <c r="K15" s="15">
        <f t="shared" ref="K15" si="48">AVERAGE(E15:E16)</f>
        <v>77</v>
      </c>
      <c r="L15" s="16">
        <f t="shared" ref="L15" si="49">K15*0.5%</f>
        <v>0.38500000000000001</v>
      </c>
      <c r="M15" s="16">
        <f t="shared" ref="M15" si="50">ABS(E15-E16)</f>
        <v>8.0000000000012506E-2</v>
      </c>
      <c r="N15" s="17">
        <f t="shared" ref="N15" si="51">L15-M15</f>
        <v>0.3049999999999875</v>
      </c>
      <c r="O15" s="15">
        <f t="shared" ref="O15" si="52">AVERAGE(F15:F16)</f>
        <v>2.0649999999999999</v>
      </c>
      <c r="P15" s="16">
        <f t="shared" ref="P15" si="53">O15*0.1</f>
        <v>0.20650000000000002</v>
      </c>
      <c r="Q15" s="16">
        <f t="shared" ref="Q15" si="54">ABS(F15-F16)</f>
        <v>7.0000000000000284E-2</v>
      </c>
      <c r="R15" s="17">
        <f t="shared" ref="R15" si="55">P15-Q15</f>
        <v>0.13649999999999973</v>
      </c>
    </row>
    <row r="16" spans="1:18" x14ac:dyDescent="0.15">
      <c r="A16" s="14"/>
      <c r="B16" s="7">
        <v>92.14</v>
      </c>
      <c r="C16" s="8">
        <v>-0.97</v>
      </c>
      <c r="D16" s="7">
        <v>7.16</v>
      </c>
      <c r="E16" s="7">
        <v>76.959999999999994</v>
      </c>
      <c r="F16" s="22">
        <v>2.0299999999999998</v>
      </c>
      <c r="G16" s="15"/>
      <c r="H16" s="15"/>
      <c r="I16" s="15"/>
      <c r="J16" s="15"/>
      <c r="K16" s="15"/>
      <c r="L16" s="16"/>
      <c r="M16" s="16"/>
      <c r="N16" s="17"/>
      <c r="O16" s="15"/>
      <c r="P16" s="16"/>
      <c r="Q16" s="16"/>
      <c r="R16" s="17"/>
    </row>
    <row r="17" spans="1:18" x14ac:dyDescent="0.15">
      <c r="A17" s="14">
        <v>8</v>
      </c>
      <c r="B17" s="7">
        <v>92.11</v>
      </c>
      <c r="C17" s="8">
        <v>-0.97</v>
      </c>
      <c r="D17" s="7">
        <v>7.12</v>
      </c>
      <c r="E17" s="7">
        <v>76.81</v>
      </c>
      <c r="F17" s="22">
        <v>2.13</v>
      </c>
      <c r="G17" s="15">
        <f t="shared" ref="G17:I17" si="56">ABS(B17-B18)</f>
        <v>6.9999999999993179E-2</v>
      </c>
      <c r="H17" s="15">
        <f t="shared" si="56"/>
        <v>0</v>
      </c>
      <c r="I17" s="15">
        <f t="shared" si="56"/>
        <v>0.33999999999999986</v>
      </c>
      <c r="J17" s="15">
        <f t="shared" ref="J17" si="57">SQRT(G17*G17+H17*H17+I17*I17)</f>
        <v>0.3471310991541941</v>
      </c>
      <c r="K17" s="15">
        <f t="shared" ref="K17" si="58">AVERAGE(E17:E18)</f>
        <v>76.784999999999997</v>
      </c>
      <c r="L17" s="16">
        <f t="shared" ref="L17" si="59">K17*0.5%</f>
        <v>0.38392500000000002</v>
      </c>
      <c r="M17" s="16">
        <f t="shared" ref="M17" si="60">ABS(E17-E18)</f>
        <v>4.9999999999997158E-2</v>
      </c>
      <c r="N17" s="17">
        <f t="shared" ref="N17" si="61">L17-M17</f>
        <v>0.33392500000000286</v>
      </c>
      <c r="O17" s="15">
        <f t="shared" ref="O17" si="62">AVERAGE(F17:F18)</f>
        <v>2.0750000000000002</v>
      </c>
      <c r="P17" s="16">
        <f t="shared" ref="P17" si="63">O17*0.1</f>
        <v>0.20750000000000002</v>
      </c>
      <c r="Q17" s="16">
        <f t="shared" ref="Q17" si="64">ABS(F17-F18)</f>
        <v>0.10999999999999988</v>
      </c>
      <c r="R17" s="17">
        <f t="shared" ref="R17" si="65">P17-Q17</f>
        <v>9.7500000000000142E-2</v>
      </c>
    </row>
    <row r="18" spans="1:18" x14ac:dyDescent="0.15">
      <c r="A18" s="14"/>
      <c r="B18" s="7">
        <v>92.04</v>
      </c>
      <c r="C18" s="8">
        <v>-0.97</v>
      </c>
      <c r="D18" s="7">
        <v>7.46</v>
      </c>
      <c r="E18" s="7">
        <v>76.760000000000005</v>
      </c>
      <c r="F18" s="22">
        <v>2.02</v>
      </c>
      <c r="G18" s="15"/>
      <c r="H18" s="15"/>
      <c r="I18" s="15"/>
      <c r="J18" s="15"/>
      <c r="K18" s="15"/>
      <c r="L18" s="16"/>
      <c r="M18" s="16"/>
      <c r="N18" s="17"/>
      <c r="O18" s="15"/>
      <c r="P18" s="16"/>
      <c r="Q18" s="16"/>
      <c r="R18" s="17"/>
    </row>
    <row r="19" spans="1:18" x14ac:dyDescent="0.15">
      <c r="A19" s="14">
        <v>9</v>
      </c>
      <c r="B19" s="7">
        <v>92.82</v>
      </c>
      <c r="C19" s="8">
        <v>-1.0900000000000001</v>
      </c>
      <c r="D19" s="7">
        <v>7.08</v>
      </c>
      <c r="E19" s="7">
        <v>78.180000000000007</v>
      </c>
      <c r="F19" s="22">
        <v>1.3</v>
      </c>
      <c r="G19" s="15">
        <f t="shared" ref="G19:I19" si="66">ABS(B19-B20)</f>
        <v>0.14000000000000057</v>
      </c>
      <c r="H19" s="15">
        <f t="shared" si="66"/>
        <v>1.0000000000000009E-2</v>
      </c>
      <c r="I19" s="15">
        <f t="shared" si="66"/>
        <v>3.0000000000000249E-2</v>
      </c>
      <c r="J19" s="15">
        <f t="shared" ref="J19" si="67">SQRT(G19*G19+H19*H19+I19*I19)</f>
        <v>0.14352700094407383</v>
      </c>
      <c r="K19" s="15">
        <f t="shared" ref="K19" si="68">AVERAGE(E19:E20)</f>
        <v>78.385000000000005</v>
      </c>
      <c r="L19" s="16">
        <f t="shared" ref="L19" si="69">K19*0.5%</f>
        <v>0.39192500000000002</v>
      </c>
      <c r="M19" s="16">
        <f t="shared" ref="M19" si="70">ABS(E19-E20)</f>
        <v>0.40999999999999659</v>
      </c>
      <c r="N19" s="17">
        <f t="shared" ref="N19" si="71">L19-M19</f>
        <v>-1.8074999999996566E-2</v>
      </c>
      <c r="O19" s="15">
        <f t="shared" ref="O19" si="72">AVERAGE(F19:F20)</f>
        <v>1.2949999999999999</v>
      </c>
      <c r="P19" s="16">
        <f t="shared" ref="P19" si="73">O19*0.1</f>
        <v>0.1295</v>
      </c>
      <c r="Q19" s="16">
        <f t="shared" ref="Q19" si="74">ABS(F19-F20)</f>
        <v>1.0000000000000009E-2</v>
      </c>
      <c r="R19" s="17">
        <f t="shared" ref="R19" si="75">P19-Q19</f>
        <v>0.1195</v>
      </c>
    </row>
    <row r="20" spans="1:18" x14ac:dyDescent="0.15">
      <c r="A20" s="14"/>
      <c r="B20" s="7">
        <v>92.96</v>
      </c>
      <c r="C20" s="8">
        <v>-1.1000000000000001</v>
      </c>
      <c r="D20" s="7">
        <v>7.11</v>
      </c>
      <c r="E20" s="7">
        <v>78.59</v>
      </c>
      <c r="F20" s="22">
        <v>1.29</v>
      </c>
      <c r="G20" s="15"/>
      <c r="H20" s="15"/>
      <c r="I20" s="15"/>
      <c r="J20" s="15"/>
      <c r="K20" s="15"/>
      <c r="L20" s="16"/>
      <c r="M20" s="16"/>
      <c r="N20" s="17"/>
      <c r="O20" s="15"/>
      <c r="P20" s="16"/>
      <c r="Q20" s="16"/>
      <c r="R20" s="17"/>
    </row>
    <row r="21" spans="1:18" x14ac:dyDescent="0.15">
      <c r="A21" s="14">
        <v>10</v>
      </c>
      <c r="B21" s="7">
        <v>92.99</v>
      </c>
      <c r="C21" s="8">
        <v>-1.07</v>
      </c>
      <c r="D21" s="7">
        <v>6.74</v>
      </c>
      <c r="E21" s="7">
        <v>78.83</v>
      </c>
      <c r="F21" s="22">
        <v>1.31</v>
      </c>
      <c r="G21" s="15">
        <f t="shared" ref="G21:I21" si="76">ABS(B21-B22)</f>
        <v>3.0000000000001137E-2</v>
      </c>
      <c r="H21" s="15">
        <f t="shared" si="76"/>
        <v>0</v>
      </c>
      <c r="I21" s="15">
        <f t="shared" si="76"/>
        <v>0.12000000000000011</v>
      </c>
      <c r="J21" s="15">
        <f t="shared" ref="J21" si="77">SQRT(G21*G21+H21*H21+I21*I21)</f>
        <v>0.12369316876853019</v>
      </c>
      <c r="K21" s="15">
        <f t="shared" ref="K21" si="78">AVERAGE(E21:E22)</f>
        <v>78.875</v>
      </c>
      <c r="L21" s="16">
        <f t="shared" ref="L21" si="79">K21*0.5%</f>
        <v>0.39437500000000003</v>
      </c>
      <c r="M21" s="16">
        <f t="shared" ref="M21" si="80">ABS(E21-E22)</f>
        <v>9.0000000000003411E-2</v>
      </c>
      <c r="N21" s="17">
        <f t="shared" ref="N21" si="81">L21-M21</f>
        <v>0.30437499999999662</v>
      </c>
      <c r="O21" s="15">
        <f t="shared" ref="O21" si="82">AVERAGE(F21:F22)</f>
        <v>1.31</v>
      </c>
      <c r="P21" s="16">
        <f t="shared" ref="P21" si="83">O21*0.1</f>
        <v>0.13100000000000001</v>
      </c>
      <c r="Q21" s="16">
        <f t="shared" ref="Q21" si="84">ABS(F21-F22)</f>
        <v>0</v>
      </c>
      <c r="R21" s="17">
        <f t="shared" ref="R21" si="85">P21-Q21</f>
        <v>0.13100000000000001</v>
      </c>
    </row>
    <row r="22" spans="1:18" x14ac:dyDescent="0.15">
      <c r="A22" s="14"/>
      <c r="B22" s="7">
        <v>93.02</v>
      </c>
      <c r="C22" s="8">
        <v>-1.07</v>
      </c>
      <c r="D22" s="7">
        <v>6.86</v>
      </c>
      <c r="E22" s="7">
        <v>78.92</v>
      </c>
      <c r="F22" s="22">
        <v>1.31</v>
      </c>
      <c r="G22" s="15"/>
      <c r="H22" s="15"/>
      <c r="I22" s="15"/>
      <c r="J22" s="15"/>
      <c r="K22" s="15"/>
      <c r="L22" s="16"/>
      <c r="M22" s="16"/>
      <c r="N22" s="17"/>
      <c r="O22" s="15"/>
      <c r="P22" s="16"/>
      <c r="Q22" s="16"/>
      <c r="R22" s="17"/>
    </row>
    <row r="23" spans="1:18" x14ac:dyDescent="0.15">
      <c r="A23" s="14">
        <v>11</v>
      </c>
      <c r="B23" s="7">
        <v>92.44</v>
      </c>
      <c r="C23" s="8">
        <v>-1</v>
      </c>
      <c r="D23" s="7">
        <v>6.52</v>
      </c>
      <c r="E23" s="7">
        <v>77.25</v>
      </c>
      <c r="F23" s="22">
        <v>1.5</v>
      </c>
      <c r="G23" s="15">
        <f t="shared" ref="G23:I23" si="86">ABS(B23-B24)</f>
        <v>0.12000000000000455</v>
      </c>
      <c r="H23" s="15">
        <f t="shared" si="86"/>
        <v>0</v>
      </c>
      <c r="I23" s="15">
        <f t="shared" si="86"/>
        <v>0.19000000000000039</v>
      </c>
      <c r="J23" s="15">
        <f t="shared" ref="J23" si="87">SQRT(G23*G23+H23*H23+I23*I23)</f>
        <v>0.22472205054244507</v>
      </c>
      <c r="K23" s="15">
        <f t="shared" ref="K23" si="88">AVERAGE(E23:E24)</f>
        <v>77.414999999999992</v>
      </c>
      <c r="L23" s="16">
        <f t="shared" ref="L23" si="89">K23*0.5%</f>
        <v>0.38707499999999995</v>
      </c>
      <c r="M23" s="16">
        <f t="shared" ref="M23" si="90">ABS(E23-E24)</f>
        <v>0.32999999999999829</v>
      </c>
      <c r="N23" s="17">
        <f t="shared" ref="N23" si="91">L23-M23</f>
        <v>5.7075000000001652E-2</v>
      </c>
      <c r="O23" s="15">
        <f t="shared" ref="O23" si="92">AVERAGE(F23:F24)</f>
        <v>1.51</v>
      </c>
      <c r="P23" s="16">
        <f t="shared" ref="P23" si="93">O23*0.1</f>
        <v>0.15100000000000002</v>
      </c>
      <c r="Q23" s="16">
        <f t="shared" ref="Q23" si="94">ABS(F23-F24)</f>
        <v>2.0000000000000018E-2</v>
      </c>
      <c r="R23" s="17">
        <f t="shared" ref="R23" si="95">P23-Q23</f>
        <v>0.13100000000000001</v>
      </c>
    </row>
    <row r="24" spans="1:18" x14ac:dyDescent="0.15">
      <c r="A24" s="14"/>
      <c r="B24" s="7">
        <v>92.56</v>
      </c>
      <c r="C24" s="8">
        <v>-1</v>
      </c>
      <c r="D24" s="7">
        <v>6.71</v>
      </c>
      <c r="E24" s="7">
        <v>77.58</v>
      </c>
      <c r="F24" s="22">
        <v>1.52</v>
      </c>
      <c r="G24" s="15"/>
      <c r="H24" s="15"/>
      <c r="I24" s="15"/>
      <c r="J24" s="15"/>
      <c r="K24" s="15"/>
      <c r="L24" s="16"/>
      <c r="M24" s="16"/>
      <c r="N24" s="17"/>
      <c r="O24" s="15"/>
      <c r="P24" s="16"/>
      <c r="Q24" s="16"/>
      <c r="R24" s="17"/>
    </row>
    <row r="25" spans="1:18" x14ac:dyDescent="0.15">
      <c r="A25" s="14">
        <v>12</v>
      </c>
      <c r="B25" s="7">
        <v>92.63</v>
      </c>
      <c r="C25" s="8">
        <v>-1.03</v>
      </c>
      <c r="D25" s="7">
        <v>6.54</v>
      </c>
      <c r="E25" s="7">
        <v>77.98</v>
      </c>
      <c r="F25" s="22">
        <v>1.54</v>
      </c>
      <c r="G25" s="15">
        <f t="shared" ref="G25:I25" si="96">ABS(B25-B26)</f>
        <v>8.99999999999892E-2</v>
      </c>
      <c r="H25" s="15">
        <f t="shared" si="96"/>
        <v>2.0000000000000018E-2</v>
      </c>
      <c r="I25" s="15">
        <f t="shared" si="96"/>
        <v>0.28000000000000025</v>
      </c>
      <c r="J25" s="15">
        <f t="shared" ref="J25" si="97">SQRT(G25*G25+H25*H25+I25*I25)</f>
        <v>0.29478805945967046</v>
      </c>
      <c r="K25" s="15">
        <f t="shared" ref="K25" si="98">AVERAGE(E25:E26)</f>
        <v>77.930000000000007</v>
      </c>
      <c r="L25" s="16">
        <f t="shared" ref="L25" si="99">K25*0.5%</f>
        <v>0.38965000000000005</v>
      </c>
      <c r="M25" s="16">
        <f t="shared" ref="M25" si="100">ABS(E25-E26)</f>
        <v>0.10000000000000853</v>
      </c>
      <c r="N25" s="17">
        <f t="shared" ref="N25" si="101">L25-M25</f>
        <v>0.28964999999999153</v>
      </c>
      <c r="O25" s="15">
        <f t="shared" ref="O25" si="102">AVERAGE(F25:F26)</f>
        <v>1.5</v>
      </c>
      <c r="P25" s="16">
        <f t="shared" ref="P25" si="103">O25*0.1</f>
        <v>0.15000000000000002</v>
      </c>
      <c r="Q25" s="16">
        <f t="shared" ref="Q25" si="104">ABS(F25-F26)</f>
        <v>8.0000000000000071E-2</v>
      </c>
      <c r="R25" s="17">
        <f t="shared" ref="R25" si="105">P25-Q25</f>
        <v>6.9999999999999951E-2</v>
      </c>
    </row>
    <row r="26" spans="1:18" x14ac:dyDescent="0.15">
      <c r="A26" s="14"/>
      <c r="B26" s="7">
        <v>92.54</v>
      </c>
      <c r="C26" s="8">
        <v>-1.01</v>
      </c>
      <c r="D26" s="7">
        <v>6.82</v>
      </c>
      <c r="E26" s="7">
        <v>77.88</v>
      </c>
      <c r="F26" s="22">
        <v>1.46</v>
      </c>
      <c r="G26" s="15"/>
      <c r="H26" s="15"/>
      <c r="I26" s="15"/>
      <c r="J26" s="15"/>
      <c r="K26" s="15"/>
      <c r="L26" s="16"/>
      <c r="M26" s="16"/>
      <c r="N26" s="17"/>
      <c r="O26" s="15"/>
      <c r="P26" s="16"/>
      <c r="Q26" s="16"/>
      <c r="R26" s="17"/>
    </row>
    <row r="27" spans="1:18" x14ac:dyDescent="0.15">
      <c r="A27" s="14">
        <v>13</v>
      </c>
      <c r="B27" s="7">
        <v>90.12</v>
      </c>
      <c r="C27" s="8">
        <v>-0.75</v>
      </c>
      <c r="D27" s="7">
        <v>8.4499999999999993</v>
      </c>
      <c r="E27" s="7">
        <v>71.55</v>
      </c>
      <c r="F27" s="22">
        <v>5.4</v>
      </c>
      <c r="G27" s="15">
        <f t="shared" ref="G27:I27" si="106">ABS(B27-B28)</f>
        <v>9.0000000000003411E-2</v>
      </c>
      <c r="H27" s="15">
        <f t="shared" si="106"/>
        <v>5.0000000000000044E-2</v>
      </c>
      <c r="I27" s="15">
        <f t="shared" si="106"/>
        <v>0.27999999999999936</v>
      </c>
      <c r="J27" s="15">
        <f t="shared" ref="J27" si="107">SQRT(G27*G27+H27*H27+I27*I27)</f>
        <v>0.2983286778035264</v>
      </c>
      <c r="K27" s="15">
        <f t="shared" ref="K27" si="108">AVERAGE(E27:E28)</f>
        <v>71.405000000000001</v>
      </c>
      <c r="L27" s="16">
        <f t="shared" ref="L27" si="109">K27*0.5%</f>
        <v>0.35702500000000004</v>
      </c>
      <c r="M27" s="16">
        <f t="shared" ref="M27" si="110">ABS(E27-E28)</f>
        <v>0.28999999999999204</v>
      </c>
      <c r="N27" s="17">
        <f t="shared" ref="N27" si="111">L27-M27</f>
        <v>6.7025000000007995E-2</v>
      </c>
      <c r="O27" s="15">
        <f t="shared" ref="O27" si="112">AVERAGE(F27:F28)</f>
        <v>5.6550000000000002</v>
      </c>
      <c r="P27" s="16">
        <f t="shared" ref="P27" si="113">O27*0.1</f>
        <v>0.5655</v>
      </c>
      <c r="Q27" s="16">
        <f t="shared" ref="Q27" si="114">ABS(F27-F28)</f>
        <v>0.50999999999999979</v>
      </c>
      <c r="R27" s="17">
        <f t="shared" ref="R27" si="115">P27-Q27</f>
        <v>5.5500000000000216E-2</v>
      </c>
    </row>
    <row r="28" spans="1:18" x14ac:dyDescent="0.15">
      <c r="A28" s="14"/>
      <c r="B28" s="7">
        <v>90.03</v>
      </c>
      <c r="C28" s="8">
        <v>-0.7</v>
      </c>
      <c r="D28" s="7">
        <v>8.17</v>
      </c>
      <c r="E28" s="7">
        <v>71.260000000000005</v>
      </c>
      <c r="F28" s="22">
        <v>5.91</v>
      </c>
      <c r="G28" s="15"/>
      <c r="H28" s="15"/>
      <c r="I28" s="15"/>
      <c r="J28" s="15"/>
      <c r="K28" s="15"/>
      <c r="L28" s="16"/>
      <c r="M28" s="16"/>
      <c r="N28" s="17"/>
      <c r="O28" s="15"/>
      <c r="P28" s="16"/>
      <c r="Q28" s="16"/>
      <c r="R28" s="17"/>
    </row>
    <row r="29" spans="1:18" x14ac:dyDescent="0.15">
      <c r="A29" s="14">
        <v>14</v>
      </c>
      <c r="B29" s="7">
        <v>90</v>
      </c>
      <c r="C29" s="8">
        <v>-0.74</v>
      </c>
      <c r="D29" s="7">
        <v>8.76</v>
      </c>
      <c r="E29" s="7">
        <v>72.08</v>
      </c>
      <c r="F29" s="22">
        <v>5.71</v>
      </c>
      <c r="G29" s="15">
        <f t="shared" ref="G29:I29" si="116">ABS(B29-B30)</f>
        <v>4.0000000000006253E-2</v>
      </c>
      <c r="H29" s="15">
        <f t="shared" si="116"/>
        <v>4.0000000000000036E-2</v>
      </c>
      <c r="I29" s="15">
        <f t="shared" si="116"/>
        <v>0.49000000000000021</v>
      </c>
      <c r="J29" s="15">
        <f t="shared" ref="J29" si="117">SQRT(G29*G29+H29*H29+I29*I29)</f>
        <v>0.49325449820554168</v>
      </c>
      <c r="K29" s="15">
        <f t="shared" ref="K29" si="118">AVERAGE(E29:E30)</f>
        <v>72.17</v>
      </c>
      <c r="L29" s="16">
        <f t="shared" ref="L29" si="119">K29*0.5%</f>
        <v>0.36085</v>
      </c>
      <c r="M29" s="16">
        <f t="shared" ref="M29" si="120">ABS(E29-E30)</f>
        <v>0.18000000000000682</v>
      </c>
      <c r="N29" s="17">
        <f t="shared" ref="N29" si="121">L29-M29</f>
        <v>0.18084999999999318</v>
      </c>
      <c r="O29" s="15">
        <f t="shared" ref="O29" si="122">AVERAGE(F29:F30)</f>
        <v>5.6899999999999995</v>
      </c>
      <c r="P29" s="16">
        <f t="shared" ref="P29" si="123">O29*0.1</f>
        <v>0.56899999999999995</v>
      </c>
      <c r="Q29" s="16">
        <f t="shared" ref="Q29" si="124">ABS(F29-F30)</f>
        <v>4.0000000000000036E-2</v>
      </c>
      <c r="R29" s="17">
        <f t="shared" ref="R29" si="125">P29-Q29</f>
        <v>0.52899999999999991</v>
      </c>
    </row>
    <row r="30" spans="1:18" x14ac:dyDescent="0.15">
      <c r="A30" s="14"/>
      <c r="B30" s="7">
        <v>90.04</v>
      </c>
      <c r="C30" s="8">
        <v>-0.7</v>
      </c>
      <c r="D30" s="7">
        <v>8.27</v>
      </c>
      <c r="E30" s="7">
        <v>72.260000000000005</v>
      </c>
      <c r="F30" s="22">
        <v>5.67</v>
      </c>
      <c r="G30" s="15"/>
      <c r="H30" s="15"/>
      <c r="I30" s="15"/>
      <c r="J30" s="15"/>
      <c r="K30" s="15"/>
      <c r="L30" s="16"/>
      <c r="M30" s="16"/>
      <c r="N30" s="17"/>
      <c r="O30" s="15"/>
      <c r="P30" s="16"/>
      <c r="Q30" s="16"/>
      <c r="R30" s="17"/>
    </row>
    <row r="31" spans="1:18" x14ac:dyDescent="0.15">
      <c r="A31" s="14">
        <v>15</v>
      </c>
      <c r="B31" s="7">
        <v>93.56</v>
      </c>
      <c r="C31" s="8">
        <v>-1.19</v>
      </c>
      <c r="D31" s="7">
        <v>7.14</v>
      </c>
      <c r="E31" s="7">
        <v>79.97</v>
      </c>
      <c r="F31" s="22">
        <v>0.7</v>
      </c>
      <c r="G31" s="15">
        <f t="shared" ref="G31:I31" si="126">ABS(B31-B32)</f>
        <v>7.9999999999998295E-2</v>
      </c>
      <c r="H31" s="15">
        <f t="shared" si="126"/>
        <v>0</v>
      </c>
      <c r="I31" s="15">
        <f t="shared" si="126"/>
        <v>0.17999999999999972</v>
      </c>
      <c r="J31" s="15">
        <f t="shared" ref="J31" si="127">SQRT(G31*G31+H31*H31+I31*I31)</f>
        <v>0.19697715603592114</v>
      </c>
      <c r="K31" s="15">
        <f t="shared" ref="K31" si="128">AVERAGE(E31:E32)</f>
        <v>80.14</v>
      </c>
      <c r="L31" s="16">
        <f t="shared" ref="L31" si="129">K31*0.5%</f>
        <v>0.4007</v>
      </c>
      <c r="M31" s="16">
        <f t="shared" ref="M31" si="130">ABS(E31-E32)</f>
        <v>0.34000000000000341</v>
      </c>
      <c r="N31" s="17">
        <f t="shared" ref="N31" si="131">L31-M31</f>
        <v>6.069999999999659E-2</v>
      </c>
      <c r="O31" s="15">
        <f t="shared" ref="O31" si="132">AVERAGE(F31:F32)</f>
        <v>0.63</v>
      </c>
      <c r="P31" s="16">
        <f t="shared" ref="P31" si="133">O31*0.1</f>
        <v>6.3E-2</v>
      </c>
      <c r="Q31" s="16">
        <f t="shared" ref="Q31" si="134">ABS(F31-F32)</f>
        <v>0.1399999999999999</v>
      </c>
      <c r="R31" s="17">
        <f t="shared" ref="R31" si="135">P31-Q31</f>
        <v>-7.6999999999999902E-2</v>
      </c>
    </row>
    <row r="32" spans="1:18" x14ac:dyDescent="0.15">
      <c r="A32" s="14"/>
      <c r="B32" s="7">
        <v>93.64</v>
      </c>
      <c r="C32" s="8">
        <v>-1.19</v>
      </c>
      <c r="D32" s="7">
        <v>6.96</v>
      </c>
      <c r="E32" s="7">
        <v>80.31</v>
      </c>
      <c r="F32" s="22">
        <v>0.56000000000000005</v>
      </c>
      <c r="G32" s="15"/>
      <c r="H32" s="15"/>
      <c r="I32" s="15"/>
      <c r="J32" s="15"/>
      <c r="K32" s="15"/>
      <c r="L32" s="16"/>
      <c r="M32" s="16"/>
      <c r="N32" s="17"/>
      <c r="O32" s="15"/>
      <c r="P32" s="16"/>
      <c r="Q32" s="16"/>
      <c r="R32" s="17"/>
    </row>
    <row r="33" spans="1:18" x14ac:dyDescent="0.15">
      <c r="A33" s="14">
        <v>16</v>
      </c>
      <c r="B33" s="7">
        <v>93.59</v>
      </c>
      <c r="C33" s="8">
        <v>-1.17</v>
      </c>
      <c r="D33" s="7">
        <v>7.07</v>
      </c>
      <c r="E33" s="7">
        <v>80.17</v>
      </c>
      <c r="F33" s="22">
        <v>0.69</v>
      </c>
      <c r="G33" s="15">
        <f t="shared" ref="G33:I33" si="136">ABS(B33-B34)</f>
        <v>9.9999999999909051E-3</v>
      </c>
      <c r="H33" s="15">
        <f t="shared" si="136"/>
        <v>2.0000000000000018E-2</v>
      </c>
      <c r="I33" s="15">
        <f t="shared" si="136"/>
        <v>0.12999999999999989</v>
      </c>
      <c r="J33" s="15">
        <f t="shared" ref="J33" si="137">SQRT(G33*G33+H33*H33+I33*I33)</f>
        <v>0.13190905958272839</v>
      </c>
      <c r="K33" s="15">
        <f t="shared" ref="K33" si="138">AVERAGE(E33:E34)</f>
        <v>80.16</v>
      </c>
      <c r="L33" s="16">
        <f t="shared" ref="L33" si="139">K33*0.5%</f>
        <v>0.40079999999999999</v>
      </c>
      <c r="M33" s="16">
        <f t="shared" ref="M33" si="140">ABS(E33-E34)</f>
        <v>1.9999999999996021E-2</v>
      </c>
      <c r="N33" s="17">
        <f t="shared" ref="N33" si="141">L33-M33</f>
        <v>0.38080000000000397</v>
      </c>
      <c r="O33" s="15">
        <f t="shared" ref="O33" si="142">AVERAGE(F33:F34)</f>
        <v>0.69</v>
      </c>
      <c r="P33" s="16">
        <f t="shared" ref="P33" si="143">O33*0.1</f>
        <v>6.8999999999999992E-2</v>
      </c>
      <c r="Q33" s="16">
        <f t="shared" ref="Q33" si="144">ABS(F33-F34)</f>
        <v>0</v>
      </c>
      <c r="R33" s="17">
        <f t="shared" ref="R33" si="145">P33-Q33</f>
        <v>6.8999999999999992E-2</v>
      </c>
    </row>
    <row r="34" spans="1:18" x14ac:dyDescent="0.15">
      <c r="A34" s="14"/>
      <c r="B34" s="7">
        <v>93.6</v>
      </c>
      <c r="C34" s="8">
        <v>-1.19</v>
      </c>
      <c r="D34" s="7">
        <v>6.94</v>
      </c>
      <c r="E34" s="7">
        <v>80.150000000000006</v>
      </c>
      <c r="F34" s="22">
        <v>0.69</v>
      </c>
      <c r="G34" s="15"/>
      <c r="H34" s="15"/>
      <c r="I34" s="15"/>
      <c r="J34" s="15"/>
      <c r="K34" s="15"/>
      <c r="L34" s="16"/>
      <c r="M34" s="16"/>
      <c r="N34" s="17"/>
      <c r="O34" s="15"/>
      <c r="P34" s="16"/>
      <c r="Q34" s="16"/>
      <c r="R34" s="17"/>
    </row>
    <row r="35" spans="1:18" x14ac:dyDescent="0.15">
      <c r="A35" s="14">
        <v>17</v>
      </c>
      <c r="B35" s="7">
        <v>92.86</v>
      </c>
      <c r="C35" s="8">
        <v>-1.0900000000000001</v>
      </c>
      <c r="D35" s="7">
        <v>6.86</v>
      </c>
      <c r="E35" s="7">
        <v>78.260000000000005</v>
      </c>
      <c r="F35" s="22">
        <v>1.3</v>
      </c>
      <c r="G35" s="15">
        <f t="shared" ref="G35:I35" si="146">ABS(B35-B36)</f>
        <v>0.12999999999999545</v>
      </c>
      <c r="H35" s="15">
        <f t="shared" si="146"/>
        <v>2.0000000000000018E-2</v>
      </c>
      <c r="I35" s="15">
        <f t="shared" si="146"/>
        <v>0.25999999999999979</v>
      </c>
      <c r="J35" s="15">
        <f t="shared" ref="J35" si="147">SQRT(G35*G35+H35*H35+I35*I35)</f>
        <v>0.29137604568666708</v>
      </c>
      <c r="K35" s="15">
        <f t="shared" ref="K35" si="148">AVERAGE(E35:E36)</f>
        <v>78.41</v>
      </c>
      <c r="L35" s="16">
        <f t="shared" ref="L35" si="149">K35*0.5%</f>
        <v>0.39205000000000001</v>
      </c>
      <c r="M35" s="16">
        <f t="shared" ref="M35" si="150">ABS(E35-E36)</f>
        <v>0.29999999999999716</v>
      </c>
      <c r="N35" s="17">
        <f t="shared" ref="N35" si="151">L35-M35</f>
        <v>9.2050000000002852E-2</v>
      </c>
      <c r="O35" s="15">
        <f t="shared" ref="O35" si="152">AVERAGE(F35:F36)</f>
        <v>1.37</v>
      </c>
      <c r="P35" s="16">
        <f t="shared" ref="P35" si="153">O35*0.1</f>
        <v>0.13700000000000001</v>
      </c>
      <c r="Q35" s="16">
        <f t="shared" ref="Q35" si="154">ABS(F35-F36)</f>
        <v>0.1399999999999999</v>
      </c>
      <c r="R35" s="17">
        <f t="shared" ref="R35:R95" si="155">P35-Q35</f>
        <v>-2.9999999999998916E-3</v>
      </c>
    </row>
    <row r="36" spans="1:18" x14ac:dyDescent="0.15">
      <c r="A36" s="14"/>
      <c r="B36" s="7">
        <v>92.99</v>
      </c>
      <c r="C36" s="8">
        <v>-1.1100000000000001</v>
      </c>
      <c r="D36" s="7">
        <v>7.12</v>
      </c>
      <c r="E36" s="7">
        <v>78.56</v>
      </c>
      <c r="F36" s="22">
        <v>1.44</v>
      </c>
      <c r="G36" s="15"/>
      <c r="H36" s="15"/>
      <c r="I36" s="15"/>
      <c r="J36" s="15"/>
      <c r="K36" s="15"/>
      <c r="L36" s="16"/>
      <c r="M36" s="16"/>
      <c r="N36" s="17"/>
      <c r="O36" s="15"/>
      <c r="P36" s="16"/>
      <c r="Q36" s="16"/>
      <c r="R36" s="17"/>
    </row>
    <row r="37" spans="1:18" x14ac:dyDescent="0.15">
      <c r="A37" s="14">
        <v>18</v>
      </c>
      <c r="B37" s="7">
        <v>92.94</v>
      </c>
      <c r="C37" s="8">
        <v>-1.05</v>
      </c>
      <c r="D37" s="7">
        <v>6.83</v>
      </c>
      <c r="E37" s="7">
        <v>78.73</v>
      </c>
      <c r="F37" s="22">
        <v>1.51</v>
      </c>
      <c r="G37" s="15">
        <f t="shared" ref="G37:I37" si="156">ABS(B37-B38)</f>
        <v>3.0000000000001137E-2</v>
      </c>
      <c r="H37" s="15">
        <f t="shared" si="156"/>
        <v>4.0000000000000036E-2</v>
      </c>
      <c r="I37" s="15">
        <f t="shared" si="156"/>
        <v>0.16000000000000014</v>
      </c>
      <c r="J37" s="15">
        <f t="shared" ref="J37" si="157">SQRT(G37*G37+H37*H37+I37*I37)</f>
        <v>0.16763054614240244</v>
      </c>
      <c r="K37" s="15">
        <f t="shared" ref="K37" si="158">AVERAGE(E37:E38)</f>
        <v>78.73</v>
      </c>
      <c r="L37" s="16">
        <f t="shared" ref="L37" si="159">K37*0.5%</f>
        <v>0.39365000000000006</v>
      </c>
      <c r="M37" s="16">
        <f t="shared" ref="M37" si="160">ABS(E37-E38)</f>
        <v>0</v>
      </c>
      <c r="N37" s="17">
        <f t="shared" ref="N37" si="161">L37-M37</f>
        <v>0.39365000000000006</v>
      </c>
      <c r="O37" s="15">
        <f t="shared" ref="O37" si="162">AVERAGE(F37:F38)</f>
        <v>1.51</v>
      </c>
      <c r="P37" s="16">
        <f t="shared" ref="P37" si="163">O37*0.1</f>
        <v>0.15100000000000002</v>
      </c>
      <c r="Q37" s="16">
        <f t="shared" ref="Q37" si="164">ABS(F37-F38)</f>
        <v>0</v>
      </c>
      <c r="R37" s="17">
        <f t="shared" ref="R37:R97" si="165">P37-Q37</f>
        <v>0.15100000000000002</v>
      </c>
    </row>
    <row r="38" spans="1:18" x14ac:dyDescent="0.15">
      <c r="A38" s="14"/>
      <c r="B38" s="7">
        <v>92.97</v>
      </c>
      <c r="C38" s="8">
        <v>-1.0900000000000001</v>
      </c>
      <c r="D38" s="7">
        <v>6.67</v>
      </c>
      <c r="E38" s="7">
        <v>78.73</v>
      </c>
      <c r="F38" s="22">
        <v>1.51</v>
      </c>
      <c r="G38" s="15"/>
      <c r="H38" s="15"/>
      <c r="I38" s="15"/>
      <c r="J38" s="15"/>
      <c r="K38" s="15"/>
      <c r="L38" s="16"/>
      <c r="M38" s="16"/>
      <c r="N38" s="17"/>
      <c r="O38" s="15"/>
      <c r="P38" s="16"/>
      <c r="Q38" s="16"/>
      <c r="R38" s="17"/>
    </row>
    <row r="39" spans="1:18" x14ac:dyDescent="0.15">
      <c r="A39" s="14">
        <v>19</v>
      </c>
      <c r="B39" s="7">
        <v>92.94</v>
      </c>
      <c r="C39" s="8">
        <v>-1.1100000000000001</v>
      </c>
      <c r="D39" s="7">
        <v>7.22</v>
      </c>
      <c r="E39" s="7">
        <v>78.75</v>
      </c>
      <c r="F39" s="22">
        <v>1.32</v>
      </c>
      <c r="G39" s="15">
        <f t="shared" ref="G39:I39" si="166">ABS(B39-B40)</f>
        <v>1.9999999999996021E-2</v>
      </c>
      <c r="H39" s="15">
        <f t="shared" si="166"/>
        <v>0</v>
      </c>
      <c r="I39" s="15">
        <f t="shared" si="166"/>
        <v>0.66999999999999993</v>
      </c>
      <c r="J39" s="15">
        <f t="shared" ref="J39" si="167">SQRT(G39*G39+H39*H39+I39*I39)</f>
        <v>0.67029844099475555</v>
      </c>
      <c r="K39" s="15">
        <f t="shared" ref="K39" si="168">AVERAGE(E39:E40)</f>
        <v>78.715000000000003</v>
      </c>
      <c r="L39" s="16">
        <f t="shared" ref="L39" si="169">K39*0.5%</f>
        <v>0.39357500000000001</v>
      </c>
      <c r="M39" s="16">
        <f t="shared" ref="M39" si="170">ABS(E39-E40)</f>
        <v>6.9999999999993179E-2</v>
      </c>
      <c r="N39" s="17">
        <f t="shared" ref="N39" si="171">L39-M39</f>
        <v>0.32357500000000683</v>
      </c>
      <c r="O39" s="15">
        <f t="shared" ref="O39" si="172">AVERAGE(F39:F40)</f>
        <v>1.365</v>
      </c>
      <c r="P39" s="16">
        <f t="shared" ref="P39" si="173">O39*0.1</f>
        <v>0.13650000000000001</v>
      </c>
      <c r="Q39" s="16">
        <f t="shared" ref="Q39" si="174">ABS(F39-F40)</f>
        <v>8.9999999999999858E-2</v>
      </c>
      <c r="R39" s="17">
        <f t="shared" ref="R39:R99" si="175">P39-Q39</f>
        <v>4.6500000000000152E-2</v>
      </c>
    </row>
    <row r="40" spans="1:18" x14ac:dyDescent="0.15">
      <c r="A40" s="14"/>
      <c r="B40" s="7">
        <v>92.92</v>
      </c>
      <c r="C40" s="8">
        <v>-1.1100000000000001</v>
      </c>
      <c r="D40" s="7">
        <v>7.89</v>
      </c>
      <c r="E40" s="7">
        <v>78.680000000000007</v>
      </c>
      <c r="F40" s="22">
        <v>1.41</v>
      </c>
      <c r="G40" s="15"/>
      <c r="H40" s="15"/>
      <c r="I40" s="15"/>
      <c r="J40" s="15"/>
      <c r="K40" s="15"/>
      <c r="L40" s="16"/>
      <c r="M40" s="16"/>
      <c r="N40" s="17"/>
      <c r="O40" s="15"/>
      <c r="P40" s="16"/>
      <c r="Q40" s="16"/>
      <c r="R40" s="17"/>
    </row>
    <row r="41" spans="1:18" x14ac:dyDescent="0.15">
      <c r="A41" s="14">
        <v>20</v>
      </c>
      <c r="B41" s="7">
        <v>92.84</v>
      </c>
      <c r="C41" s="8">
        <v>-1.1200000000000001</v>
      </c>
      <c r="D41" s="7">
        <v>7.87</v>
      </c>
      <c r="E41" s="7">
        <v>78.430000000000007</v>
      </c>
      <c r="F41" s="22">
        <v>1.34</v>
      </c>
      <c r="G41" s="15">
        <f t="shared" ref="G41:I41" si="176">ABS(B41-B42)</f>
        <v>9.0000000000003411E-2</v>
      </c>
      <c r="H41" s="15">
        <f t="shared" si="176"/>
        <v>0</v>
      </c>
      <c r="I41" s="15">
        <f t="shared" si="176"/>
        <v>0.14999999999999947</v>
      </c>
      <c r="J41" s="15">
        <f t="shared" ref="J41" si="177">SQRT(G41*G41+H41*H41+I41*I41)</f>
        <v>0.17492855684536032</v>
      </c>
      <c r="K41" s="15">
        <f t="shared" ref="K41" si="178">AVERAGE(E41:E42)</f>
        <v>78.564999999999998</v>
      </c>
      <c r="L41" s="16">
        <f t="shared" ref="L41" si="179">K41*0.5%</f>
        <v>0.39282499999999998</v>
      </c>
      <c r="M41" s="16">
        <f t="shared" ref="M41" si="180">ABS(E41-E42)</f>
        <v>0.26999999999999602</v>
      </c>
      <c r="N41" s="17">
        <f t="shared" ref="N41" si="181">L41-M41</f>
        <v>0.12282500000000396</v>
      </c>
      <c r="O41" s="15">
        <f t="shared" ref="O41" si="182">AVERAGE(F41:F42)</f>
        <v>1.335</v>
      </c>
      <c r="P41" s="16">
        <f t="shared" ref="P41" si="183">O41*0.1</f>
        <v>0.13350000000000001</v>
      </c>
      <c r="Q41" s="16">
        <f t="shared" ref="Q41" si="184">ABS(F41-F42)</f>
        <v>1.0000000000000009E-2</v>
      </c>
      <c r="R41" s="17">
        <f t="shared" ref="R41:R101" si="185">P41-Q41</f>
        <v>0.1235</v>
      </c>
    </row>
    <row r="42" spans="1:18" x14ac:dyDescent="0.15">
      <c r="A42" s="14"/>
      <c r="B42" s="7">
        <v>92.93</v>
      </c>
      <c r="C42" s="8">
        <v>-1.1200000000000001</v>
      </c>
      <c r="D42" s="7">
        <v>8.02</v>
      </c>
      <c r="E42" s="7">
        <v>78.7</v>
      </c>
      <c r="F42" s="22">
        <v>1.33</v>
      </c>
      <c r="G42" s="15"/>
      <c r="H42" s="15"/>
      <c r="I42" s="15"/>
      <c r="J42" s="15"/>
      <c r="K42" s="15"/>
      <c r="L42" s="16"/>
      <c r="M42" s="16"/>
      <c r="N42" s="17"/>
      <c r="O42" s="15"/>
      <c r="P42" s="16"/>
      <c r="Q42" s="16"/>
      <c r="R42" s="17"/>
    </row>
    <row r="43" spans="1:18" x14ac:dyDescent="0.15">
      <c r="A43" s="14">
        <v>21</v>
      </c>
      <c r="B43" s="7">
        <v>92.5</v>
      </c>
      <c r="C43" s="8">
        <v>-1.02</v>
      </c>
      <c r="D43" s="7">
        <v>6.73</v>
      </c>
      <c r="E43" s="7">
        <v>77.41</v>
      </c>
      <c r="F43" s="22">
        <v>1.9</v>
      </c>
      <c r="G43" s="15">
        <f t="shared" ref="G43:I43" si="186">ABS(B43-B44)</f>
        <v>6.0000000000002274E-2</v>
      </c>
      <c r="H43" s="15">
        <f t="shared" si="186"/>
        <v>3.0000000000000027E-2</v>
      </c>
      <c r="I43" s="15">
        <f t="shared" si="186"/>
        <v>0.53999999999999915</v>
      </c>
      <c r="J43" s="15">
        <f t="shared" ref="J43" si="187">SQRT(G43*G43+H43*H43+I43*I43)</f>
        <v>0.54415071441651108</v>
      </c>
      <c r="K43" s="15">
        <f t="shared" ref="K43" si="188">AVERAGE(E43:E44)</f>
        <v>77.545000000000002</v>
      </c>
      <c r="L43" s="16">
        <f t="shared" ref="L43" si="189">K43*0.5%</f>
        <v>0.38772500000000004</v>
      </c>
      <c r="M43" s="16">
        <f t="shared" ref="M43" si="190">ABS(E43-E44)</f>
        <v>0.27000000000001023</v>
      </c>
      <c r="N43" s="17">
        <f t="shared" ref="N43" si="191">L43-M43</f>
        <v>0.11772499999998981</v>
      </c>
      <c r="O43" s="15">
        <f t="shared" ref="O43" si="192">AVERAGE(F43:F44)</f>
        <v>1.95</v>
      </c>
      <c r="P43" s="16">
        <f t="shared" ref="P43" si="193">O43*0.1</f>
        <v>0.19500000000000001</v>
      </c>
      <c r="Q43" s="16">
        <f t="shared" ref="Q43" si="194">ABS(F43-F44)</f>
        <v>0.10000000000000009</v>
      </c>
      <c r="R43" s="17">
        <f t="shared" ref="R43:R103" si="195">P43-Q43</f>
        <v>9.4999999999999918E-2</v>
      </c>
    </row>
    <row r="44" spans="1:18" x14ac:dyDescent="0.15">
      <c r="A44" s="14"/>
      <c r="B44" s="7">
        <v>92.56</v>
      </c>
      <c r="C44" s="8">
        <v>-1.05</v>
      </c>
      <c r="D44" s="7">
        <v>7.27</v>
      </c>
      <c r="E44" s="7">
        <v>77.680000000000007</v>
      </c>
      <c r="F44" s="22">
        <v>2</v>
      </c>
      <c r="G44" s="15"/>
      <c r="H44" s="15"/>
      <c r="I44" s="15"/>
      <c r="J44" s="15"/>
      <c r="K44" s="15"/>
      <c r="L44" s="16"/>
      <c r="M44" s="16"/>
      <c r="N44" s="17"/>
      <c r="O44" s="15"/>
      <c r="P44" s="16"/>
      <c r="Q44" s="16"/>
      <c r="R44" s="17"/>
    </row>
    <row r="45" spans="1:18" x14ac:dyDescent="0.15">
      <c r="A45" s="14">
        <v>22</v>
      </c>
      <c r="B45" s="7">
        <v>92.64</v>
      </c>
      <c r="C45" s="8">
        <v>-1.01</v>
      </c>
      <c r="D45" s="7">
        <v>6.62</v>
      </c>
      <c r="E45" s="7">
        <v>78.069999999999993</v>
      </c>
      <c r="F45" s="22">
        <v>2</v>
      </c>
      <c r="G45" s="15">
        <f t="shared" ref="G45:I45" si="196">ABS(B45-B46)</f>
        <v>9.0000000000003411E-2</v>
      </c>
      <c r="H45" s="15">
        <f t="shared" si="196"/>
        <v>4.0000000000000036E-2</v>
      </c>
      <c r="I45" s="15">
        <f t="shared" si="196"/>
        <v>8.0000000000000071E-2</v>
      </c>
      <c r="J45" s="15">
        <f t="shared" ref="J45" si="197">SQRT(G45*G45+H45*H45+I45*I45)</f>
        <v>0.12688577540449766</v>
      </c>
      <c r="K45" s="15">
        <f t="shared" ref="K45" si="198">AVERAGE(E45:E46)</f>
        <v>78.125</v>
      </c>
      <c r="L45" s="16">
        <f t="shared" ref="L45" si="199">K45*0.5%</f>
        <v>0.390625</v>
      </c>
      <c r="M45" s="16">
        <f t="shared" ref="M45" si="200">ABS(E45-E46)</f>
        <v>0.11000000000001364</v>
      </c>
      <c r="N45" s="17">
        <f t="shared" ref="N45" si="201">L45-M45</f>
        <v>0.28062499999998636</v>
      </c>
      <c r="O45" s="15">
        <f t="shared" ref="O45" si="202">AVERAGE(F45:F46)</f>
        <v>2.0549999999999997</v>
      </c>
      <c r="P45" s="16">
        <f t="shared" ref="P45" si="203">O45*0.1</f>
        <v>0.20549999999999999</v>
      </c>
      <c r="Q45" s="16">
        <f t="shared" ref="Q45" si="204">ABS(F45-F46)</f>
        <v>0.10999999999999988</v>
      </c>
      <c r="R45" s="17">
        <f t="shared" ref="R45:R105" si="205">P45-Q45</f>
        <v>9.5500000000000113E-2</v>
      </c>
    </row>
    <row r="46" spans="1:18" x14ac:dyDescent="0.15">
      <c r="A46" s="14"/>
      <c r="B46" s="7">
        <v>92.73</v>
      </c>
      <c r="C46" s="8">
        <v>-1.05</v>
      </c>
      <c r="D46" s="7">
        <v>6.7</v>
      </c>
      <c r="E46" s="7">
        <v>78.180000000000007</v>
      </c>
      <c r="F46" s="22">
        <v>2.11</v>
      </c>
      <c r="G46" s="15"/>
      <c r="H46" s="15"/>
      <c r="I46" s="15"/>
      <c r="J46" s="15"/>
      <c r="K46" s="15"/>
      <c r="L46" s="16"/>
      <c r="M46" s="16"/>
      <c r="N46" s="17"/>
      <c r="O46" s="15"/>
      <c r="P46" s="16"/>
      <c r="Q46" s="16"/>
      <c r="R46" s="17"/>
    </row>
    <row r="47" spans="1:18" x14ac:dyDescent="0.15">
      <c r="A47" s="14">
        <v>23</v>
      </c>
      <c r="B47" s="7">
        <v>93.32</v>
      </c>
      <c r="C47" s="8">
        <v>-1.1499999999999999</v>
      </c>
      <c r="D47" s="7">
        <v>7.11</v>
      </c>
      <c r="E47" s="7">
        <v>79.61</v>
      </c>
      <c r="F47" s="22">
        <v>0.84</v>
      </c>
      <c r="G47" s="15">
        <f t="shared" ref="G47:I47" si="206">ABS(B47-B48)</f>
        <v>8.0000000000012506E-2</v>
      </c>
      <c r="H47" s="15">
        <f t="shared" si="206"/>
        <v>0</v>
      </c>
      <c r="I47" s="15">
        <f t="shared" si="206"/>
        <v>0.44999999999999929</v>
      </c>
      <c r="J47" s="15">
        <f t="shared" ref="J47" si="207">SQRT(G47*G47+H47*H47+I47*I47)</f>
        <v>0.45705579528105905</v>
      </c>
      <c r="K47" s="15">
        <f t="shared" ref="K47" si="208">AVERAGE(E47:E48)</f>
        <v>79.685000000000002</v>
      </c>
      <c r="L47" s="16">
        <f t="shared" ref="L47" si="209">K47*0.5%</f>
        <v>0.39842500000000003</v>
      </c>
      <c r="M47" s="16">
        <f t="shared" ref="M47" si="210">ABS(E47-E48)</f>
        <v>0.15000000000000568</v>
      </c>
      <c r="N47" s="17">
        <f t="shared" ref="N47" si="211">L47-M47</f>
        <v>0.24842499999999434</v>
      </c>
      <c r="O47" s="15">
        <f t="shared" ref="O47" si="212">AVERAGE(F47:F48)</f>
        <v>0.84499999999999997</v>
      </c>
      <c r="P47" s="16">
        <f t="shared" ref="P47" si="213">O47*0.1</f>
        <v>8.4500000000000006E-2</v>
      </c>
      <c r="Q47" s="16">
        <f t="shared" ref="Q47" si="214">ABS(F47-F48)</f>
        <v>1.0000000000000009E-2</v>
      </c>
      <c r="R47" s="17">
        <f t="shared" ref="R47:R77" si="215">P47-Q47</f>
        <v>7.4499999999999997E-2</v>
      </c>
    </row>
    <row r="48" spans="1:18" x14ac:dyDescent="0.15">
      <c r="A48" s="14"/>
      <c r="B48" s="7">
        <v>93.4</v>
      </c>
      <c r="C48" s="8">
        <v>-1.1499999999999999</v>
      </c>
      <c r="D48" s="7">
        <v>7.56</v>
      </c>
      <c r="E48" s="7">
        <v>79.760000000000005</v>
      </c>
      <c r="F48" s="22">
        <v>0.85</v>
      </c>
      <c r="G48" s="15"/>
      <c r="H48" s="15"/>
      <c r="I48" s="15"/>
      <c r="J48" s="15"/>
      <c r="K48" s="15"/>
      <c r="L48" s="16"/>
      <c r="M48" s="16"/>
      <c r="N48" s="17"/>
      <c r="O48" s="15"/>
      <c r="P48" s="16"/>
      <c r="Q48" s="16"/>
      <c r="R48" s="17"/>
    </row>
    <row r="49" spans="1:18" x14ac:dyDescent="0.15">
      <c r="A49" s="14">
        <v>24</v>
      </c>
      <c r="B49" s="7">
        <v>93.29</v>
      </c>
      <c r="C49" s="8">
        <v>-1.1499999999999999</v>
      </c>
      <c r="D49" s="7">
        <v>7.19</v>
      </c>
      <c r="E49" s="7">
        <v>79.430000000000007</v>
      </c>
      <c r="F49" s="22">
        <v>0.87</v>
      </c>
      <c r="G49" s="15">
        <f t="shared" ref="G49:I49" si="216">ABS(B49-B50)</f>
        <v>6.9999999999993179E-2</v>
      </c>
      <c r="H49" s="15">
        <f t="shared" si="216"/>
        <v>0</v>
      </c>
      <c r="I49" s="15">
        <f t="shared" si="216"/>
        <v>4.0000000000000036E-2</v>
      </c>
      <c r="J49" s="15">
        <f t="shared" ref="J49" si="217">SQRT(G49*G49+H49*H49+I49*I49)</f>
        <v>8.0622577482979588E-2</v>
      </c>
      <c r="K49" s="15">
        <f t="shared" ref="K49" si="218">AVERAGE(E49:E50)</f>
        <v>79.550000000000011</v>
      </c>
      <c r="L49" s="16">
        <f t="shared" ref="L49" si="219">K49*0.5%</f>
        <v>0.39775000000000005</v>
      </c>
      <c r="M49" s="16">
        <f t="shared" ref="M49" si="220">ABS(E49-E50)</f>
        <v>0.23999999999999488</v>
      </c>
      <c r="N49" s="17">
        <f t="shared" ref="N49" si="221">L49-M49</f>
        <v>0.15775000000000516</v>
      </c>
      <c r="O49" s="15">
        <f t="shared" ref="O49" si="222">AVERAGE(F49:F50)</f>
        <v>0.85499999999999998</v>
      </c>
      <c r="P49" s="16">
        <f t="shared" ref="P49" si="223">O49*0.1</f>
        <v>8.5500000000000007E-2</v>
      </c>
      <c r="Q49" s="16">
        <f t="shared" ref="Q49" si="224">ABS(F49-F50)</f>
        <v>3.0000000000000027E-2</v>
      </c>
      <c r="R49" s="17">
        <f t="shared" ref="R49:R79" si="225">P49-Q49</f>
        <v>5.549999999999998E-2</v>
      </c>
    </row>
    <row r="50" spans="1:18" x14ac:dyDescent="0.15">
      <c r="A50" s="14"/>
      <c r="B50" s="7">
        <v>93.36</v>
      </c>
      <c r="C50" s="8">
        <v>-1.1499999999999999</v>
      </c>
      <c r="D50" s="7">
        <v>7.23</v>
      </c>
      <c r="E50" s="7">
        <v>79.67</v>
      </c>
      <c r="F50" s="22">
        <v>0.84</v>
      </c>
      <c r="G50" s="15"/>
      <c r="H50" s="15"/>
      <c r="I50" s="15"/>
      <c r="J50" s="15"/>
      <c r="K50" s="15"/>
      <c r="L50" s="16"/>
      <c r="M50" s="16"/>
      <c r="N50" s="17"/>
      <c r="O50" s="15"/>
      <c r="P50" s="16"/>
      <c r="Q50" s="16"/>
      <c r="R50" s="17"/>
    </row>
    <row r="51" spans="1:18" x14ac:dyDescent="0.15">
      <c r="A51" s="14">
        <v>25</v>
      </c>
      <c r="B51" s="7">
        <v>91.73</v>
      </c>
      <c r="C51" s="8">
        <v>-0.97</v>
      </c>
      <c r="D51" s="7">
        <v>8.02</v>
      </c>
      <c r="E51" s="7">
        <v>75.739999999999995</v>
      </c>
      <c r="F51" s="22">
        <v>3.4</v>
      </c>
      <c r="G51" s="15">
        <f t="shared" ref="G51:I51" si="226">ABS(B51-B52)</f>
        <v>8.99999999999892E-2</v>
      </c>
      <c r="H51" s="15">
        <f t="shared" si="226"/>
        <v>2.0000000000000018E-2</v>
      </c>
      <c r="I51" s="15">
        <f t="shared" si="226"/>
        <v>0.45999999999999996</v>
      </c>
      <c r="J51" s="15">
        <f t="shared" ref="J51" si="227">SQRT(G51*G51+H51*H51+I51*I51)</f>
        <v>0.46914816422959393</v>
      </c>
      <c r="K51" s="15">
        <f t="shared" ref="K51" si="228">AVERAGE(E51:E52)</f>
        <v>75.995000000000005</v>
      </c>
      <c r="L51" s="16">
        <f t="shared" ref="L51" si="229">K51*0.5%</f>
        <v>0.37997500000000001</v>
      </c>
      <c r="M51" s="16">
        <f t="shared" ref="M51" si="230">ABS(E51-E52)</f>
        <v>0.51000000000000512</v>
      </c>
      <c r="N51" s="17">
        <f t="shared" ref="N51" si="231">L51-M51</f>
        <v>-0.13002500000000511</v>
      </c>
      <c r="O51" s="15">
        <f t="shared" ref="O51" si="232">AVERAGE(F51:F52)</f>
        <v>3.4550000000000001</v>
      </c>
      <c r="P51" s="16">
        <f t="shared" ref="P51" si="233">O51*0.1</f>
        <v>0.34550000000000003</v>
      </c>
      <c r="Q51" s="16">
        <f t="shared" ref="Q51" si="234">ABS(F51-F52)</f>
        <v>0.10999999999999988</v>
      </c>
      <c r="R51" s="17">
        <f t="shared" ref="R51:R81" si="235">P51-Q51</f>
        <v>0.23550000000000015</v>
      </c>
    </row>
    <row r="52" spans="1:18" x14ac:dyDescent="0.15">
      <c r="A52" s="14"/>
      <c r="B52" s="7">
        <v>91.82</v>
      </c>
      <c r="C52" s="8">
        <v>-0.95</v>
      </c>
      <c r="D52" s="7">
        <v>7.56</v>
      </c>
      <c r="E52" s="7">
        <v>76.25</v>
      </c>
      <c r="F52" s="22">
        <v>3.51</v>
      </c>
      <c r="G52" s="15"/>
      <c r="H52" s="15"/>
      <c r="I52" s="15"/>
      <c r="J52" s="15"/>
      <c r="K52" s="15"/>
      <c r="L52" s="16"/>
      <c r="M52" s="16"/>
      <c r="N52" s="17"/>
      <c r="O52" s="15"/>
      <c r="P52" s="16"/>
      <c r="Q52" s="16"/>
      <c r="R52" s="17"/>
    </row>
    <row r="53" spans="1:18" x14ac:dyDescent="0.15">
      <c r="A53" s="14">
        <v>26</v>
      </c>
      <c r="B53" s="7">
        <v>91.82</v>
      </c>
      <c r="C53" s="8">
        <v>-0.97</v>
      </c>
      <c r="D53" s="7">
        <v>8.1300000000000008</v>
      </c>
      <c r="E53" s="7">
        <v>76.17</v>
      </c>
      <c r="F53" s="22">
        <v>3.51</v>
      </c>
      <c r="G53" s="15">
        <f t="shared" ref="G53:I53" si="236">ABS(B53-B54)</f>
        <v>4.0000000000006253E-2</v>
      </c>
      <c r="H53" s="15">
        <f t="shared" si="236"/>
        <v>2.0000000000000018E-2</v>
      </c>
      <c r="I53" s="15">
        <f t="shared" si="236"/>
        <v>9.0000000000001634E-2</v>
      </c>
      <c r="J53" s="15">
        <f t="shared" ref="J53" si="237">SQRT(G53*G53+H53*H53+I53*I53)</f>
        <v>0.10049875621121286</v>
      </c>
      <c r="K53" s="15">
        <f t="shared" ref="K53" si="238">AVERAGE(E53:E54)</f>
        <v>76.25</v>
      </c>
      <c r="L53" s="16">
        <f t="shared" ref="L53" si="239">K53*0.5%</f>
        <v>0.38125000000000003</v>
      </c>
      <c r="M53" s="16">
        <f t="shared" ref="M53" si="240">ABS(E53-E54)</f>
        <v>0.15999999999999659</v>
      </c>
      <c r="N53" s="17">
        <f t="shared" ref="N53" si="241">L53-M53</f>
        <v>0.22125000000000344</v>
      </c>
      <c r="O53" s="15">
        <f t="shared" ref="O53" si="242">AVERAGE(F53:F54)</f>
        <v>3.5049999999999999</v>
      </c>
      <c r="P53" s="16">
        <f t="shared" ref="P53" si="243">O53*0.1</f>
        <v>0.35050000000000003</v>
      </c>
      <c r="Q53" s="16">
        <f t="shared" ref="Q53" si="244">ABS(F53-F54)</f>
        <v>9.9999999999997868E-3</v>
      </c>
      <c r="R53" s="17">
        <f t="shared" ref="R53:R83" si="245">P53-Q53</f>
        <v>0.34050000000000025</v>
      </c>
    </row>
    <row r="54" spans="1:18" x14ac:dyDescent="0.15">
      <c r="A54" s="14"/>
      <c r="B54" s="7">
        <v>91.86</v>
      </c>
      <c r="C54" s="8">
        <v>-0.95</v>
      </c>
      <c r="D54" s="7">
        <v>8.0399999999999991</v>
      </c>
      <c r="E54" s="7">
        <v>76.33</v>
      </c>
      <c r="F54" s="22">
        <v>3.5</v>
      </c>
      <c r="G54" s="15"/>
      <c r="H54" s="15"/>
      <c r="I54" s="15"/>
      <c r="J54" s="15"/>
      <c r="K54" s="15"/>
      <c r="L54" s="16"/>
      <c r="M54" s="16"/>
      <c r="N54" s="17"/>
      <c r="O54" s="15"/>
      <c r="P54" s="16"/>
      <c r="Q54" s="16"/>
      <c r="R54" s="17"/>
    </row>
    <row r="55" spans="1:18" x14ac:dyDescent="0.15">
      <c r="A55" s="14">
        <v>27</v>
      </c>
      <c r="B55" s="7">
        <v>93.13</v>
      </c>
      <c r="C55" s="8">
        <v>-1.1399999999999999</v>
      </c>
      <c r="D55" s="7">
        <v>7.12</v>
      </c>
      <c r="E55" s="7">
        <v>78.92</v>
      </c>
      <c r="F55" s="22">
        <v>0.9</v>
      </c>
      <c r="G55" s="15">
        <f t="shared" ref="G55:I55" si="246">ABS(B55-B56)</f>
        <v>9.9999999999909051E-3</v>
      </c>
      <c r="H55" s="15">
        <f t="shared" si="246"/>
        <v>1.0000000000000009E-2</v>
      </c>
      <c r="I55" s="15">
        <f t="shared" si="246"/>
        <v>4.0000000000000036E-2</v>
      </c>
      <c r="J55" s="15">
        <f t="shared" ref="J55" si="247">SQRT(G55*G55+H55*H55+I55*I55)</f>
        <v>4.2426406871190744E-2</v>
      </c>
      <c r="K55" s="15">
        <f t="shared" ref="K55" si="248">AVERAGE(E55:E56)</f>
        <v>79.034999999999997</v>
      </c>
      <c r="L55" s="16">
        <f t="shared" ref="L55" si="249">K55*0.5%</f>
        <v>0.395175</v>
      </c>
      <c r="M55" s="16">
        <f t="shared" ref="M55" si="250">ABS(E55-E56)</f>
        <v>0.23000000000000398</v>
      </c>
      <c r="N55" s="17">
        <f t="shared" ref="N55" si="251">L55-M55</f>
        <v>0.16517499999999602</v>
      </c>
      <c r="O55" s="15">
        <f t="shared" ref="O55" si="252">AVERAGE(F55:F56)</f>
        <v>0.91999999999999993</v>
      </c>
      <c r="P55" s="16">
        <f t="shared" ref="P55" si="253">O55*0.1</f>
        <v>9.1999999999999998E-2</v>
      </c>
      <c r="Q55" s="16">
        <f t="shared" ref="Q55" si="254">ABS(F55-F56)</f>
        <v>3.9999999999999925E-2</v>
      </c>
      <c r="R55" s="17">
        <f t="shared" ref="R55:R85" si="255">P55-Q55</f>
        <v>5.2000000000000074E-2</v>
      </c>
    </row>
    <row r="56" spans="1:18" x14ac:dyDescent="0.15">
      <c r="A56" s="14"/>
      <c r="B56" s="7">
        <v>93.12</v>
      </c>
      <c r="C56" s="8">
        <v>-1.1299999999999999</v>
      </c>
      <c r="D56" s="7">
        <v>7.08</v>
      </c>
      <c r="E56" s="7">
        <v>79.150000000000006</v>
      </c>
      <c r="F56" s="22">
        <v>0.94</v>
      </c>
      <c r="G56" s="15"/>
      <c r="H56" s="15"/>
      <c r="I56" s="15"/>
      <c r="J56" s="15"/>
      <c r="K56" s="15"/>
      <c r="L56" s="16"/>
      <c r="M56" s="16"/>
      <c r="N56" s="17"/>
      <c r="O56" s="15"/>
      <c r="P56" s="16"/>
      <c r="Q56" s="16"/>
      <c r="R56" s="17"/>
    </row>
    <row r="57" spans="1:18" x14ac:dyDescent="0.15">
      <c r="A57" s="14">
        <v>28</v>
      </c>
      <c r="B57" s="7">
        <v>93.17</v>
      </c>
      <c r="C57" s="8">
        <v>-1.1000000000000001</v>
      </c>
      <c r="D57" s="7">
        <v>7</v>
      </c>
      <c r="E57" s="7">
        <v>79.25</v>
      </c>
      <c r="F57" s="22">
        <v>0.97</v>
      </c>
      <c r="G57" s="15">
        <f t="shared" ref="G57:I57" si="256">ABS(B57-B58)</f>
        <v>7.000000000000739E-2</v>
      </c>
      <c r="H57" s="15">
        <f t="shared" si="256"/>
        <v>0</v>
      </c>
      <c r="I57" s="15">
        <f t="shared" si="256"/>
        <v>9.9999999999999645E-2</v>
      </c>
      <c r="J57" s="15">
        <f t="shared" ref="J57" si="257">SQRT(G57*G57+H57*H57+I57*I57)</f>
        <v>0.12206555615734098</v>
      </c>
      <c r="K57" s="15">
        <f t="shared" ref="K57" si="258">AVERAGE(E57:E58)</f>
        <v>79.174999999999997</v>
      </c>
      <c r="L57" s="16">
        <f t="shared" ref="L57" si="259">K57*0.5%</f>
        <v>0.39587499999999998</v>
      </c>
      <c r="M57" s="16">
        <f t="shared" ref="M57" si="260">ABS(E57-E58)</f>
        <v>0.15000000000000568</v>
      </c>
      <c r="N57" s="17">
        <f t="shared" ref="N57" si="261">L57-M57</f>
        <v>0.24587499999999429</v>
      </c>
      <c r="O57" s="15">
        <f t="shared" ref="O57" si="262">AVERAGE(F57:F58)</f>
        <v>0.96</v>
      </c>
      <c r="P57" s="16">
        <f t="shared" ref="P57" si="263">O57*0.1</f>
        <v>9.6000000000000002E-2</v>
      </c>
      <c r="Q57" s="16">
        <f t="shared" ref="Q57" si="264">ABS(F57-F58)</f>
        <v>2.0000000000000018E-2</v>
      </c>
      <c r="R57" s="17">
        <f t="shared" ref="R57:R87" si="265">P57-Q57</f>
        <v>7.5999999999999984E-2</v>
      </c>
    </row>
    <row r="58" spans="1:18" x14ac:dyDescent="0.15">
      <c r="A58" s="14"/>
      <c r="B58" s="7">
        <v>93.1</v>
      </c>
      <c r="C58" s="8">
        <v>-1.1000000000000001</v>
      </c>
      <c r="D58" s="7">
        <v>7.1</v>
      </c>
      <c r="E58" s="7">
        <v>79.099999999999994</v>
      </c>
      <c r="F58" s="22">
        <v>0.95</v>
      </c>
      <c r="G58" s="15"/>
      <c r="H58" s="15"/>
      <c r="I58" s="15"/>
      <c r="J58" s="15"/>
      <c r="K58" s="15"/>
      <c r="L58" s="16"/>
      <c r="M58" s="16"/>
      <c r="N58" s="17"/>
      <c r="O58" s="15"/>
      <c r="P58" s="16"/>
      <c r="Q58" s="16"/>
      <c r="R58" s="17"/>
    </row>
    <row r="59" spans="1:18" x14ac:dyDescent="0.15">
      <c r="A59" s="14">
        <v>29</v>
      </c>
      <c r="B59" s="7">
        <v>93.37</v>
      </c>
      <c r="C59" s="8">
        <v>-1.2</v>
      </c>
      <c r="D59" s="7">
        <v>7.83</v>
      </c>
      <c r="E59" s="7">
        <v>79.510000000000005</v>
      </c>
      <c r="F59" s="22">
        <v>0.4</v>
      </c>
      <c r="G59" s="15">
        <f t="shared" ref="G59:I59" si="266">ABS(B59-B60)</f>
        <v>0</v>
      </c>
      <c r="H59" s="15">
        <f t="shared" si="266"/>
        <v>5.0000000000000044E-2</v>
      </c>
      <c r="I59" s="15">
        <f t="shared" si="266"/>
        <v>0.75</v>
      </c>
      <c r="J59" s="15">
        <f t="shared" ref="J59" si="267">SQRT(G59*G59+H59*H59+I59*I59)</f>
        <v>0.75166481891864545</v>
      </c>
      <c r="K59" s="15">
        <f t="shared" ref="K59" si="268">AVERAGE(E59:E60)</f>
        <v>79.594999999999999</v>
      </c>
      <c r="L59" s="16">
        <f t="shared" ref="L59" si="269">K59*0.5%</f>
        <v>0.39797500000000002</v>
      </c>
      <c r="M59" s="16">
        <f t="shared" ref="M59" si="270">ABS(E59-E60)</f>
        <v>0.17000000000000171</v>
      </c>
      <c r="N59" s="17">
        <f t="shared" ref="N59" si="271">L59-M59</f>
        <v>0.22797499999999832</v>
      </c>
      <c r="O59" s="15">
        <f t="shared" ref="O59" si="272">AVERAGE(F59:F60)</f>
        <v>0.41000000000000003</v>
      </c>
      <c r="P59" s="16">
        <f t="shared" ref="P59" si="273">O59*0.1</f>
        <v>4.1000000000000009E-2</v>
      </c>
      <c r="Q59" s="16">
        <f t="shared" ref="Q59" si="274">ABS(F59-F60)</f>
        <v>1.9999999999999962E-2</v>
      </c>
      <c r="R59" s="17">
        <f t="shared" ref="R59:R89" si="275">P59-Q59</f>
        <v>2.1000000000000046E-2</v>
      </c>
    </row>
    <row r="60" spans="1:18" x14ac:dyDescent="0.15">
      <c r="A60" s="14"/>
      <c r="B60" s="7">
        <v>93.37</v>
      </c>
      <c r="C60" s="8">
        <v>-1.1499999999999999</v>
      </c>
      <c r="D60" s="7">
        <v>7.08</v>
      </c>
      <c r="E60" s="7">
        <v>79.680000000000007</v>
      </c>
      <c r="F60" s="22">
        <v>0.42</v>
      </c>
      <c r="G60" s="15"/>
      <c r="H60" s="15"/>
      <c r="I60" s="15"/>
      <c r="J60" s="15"/>
      <c r="K60" s="15"/>
      <c r="L60" s="16"/>
      <c r="M60" s="16"/>
      <c r="N60" s="17"/>
      <c r="O60" s="15"/>
      <c r="P60" s="16"/>
      <c r="Q60" s="16"/>
      <c r="R60" s="17"/>
    </row>
    <row r="61" spans="1:18" x14ac:dyDescent="0.15">
      <c r="A61" s="14">
        <v>30</v>
      </c>
      <c r="B61" s="7">
        <v>93.35</v>
      </c>
      <c r="C61" s="8">
        <v>-1.17</v>
      </c>
      <c r="D61" s="7">
        <v>7.86</v>
      </c>
      <c r="E61" s="7">
        <v>79.650000000000006</v>
      </c>
      <c r="F61" s="22">
        <v>0.39</v>
      </c>
      <c r="G61" s="15">
        <f t="shared" ref="G61:I61" si="276">ABS(B61-B62)</f>
        <v>6.0000000000002274E-2</v>
      </c>
      <c r="H61" s="15">
        <f t="shared" si="276"/>
        <v>0</v>
      </c>
      <c r="I61" s="15">
        <f t="shared" si="276"/>
        <v>4.0000000000000036E-2</v>
      </c>
      <c r="J61" s="15">
        <f t="shared" ref="J61" si="277">SQRT(G61*G61+H61*H61+I61*I61)</f>
        <v>7.2111025509281695E-2</v>
      </c>
      <c r="K61" s="15">
        <f t="shared" ref="K61" si="278">AVERAGE(E61:E62)</f>
        <v>79.715000000000003</v>
      </c>
      <c r="L61" s="16">
        <f t="shared" ref="L61" si="279">K61*0.5%</f>
        <v>0.39857500000000001</v>
      </c>
      <c r="M61" s="16">
        <f t="shared" ref="M61" si="280">ABS(E61-E62)</f>
        <v>0.12999999999999545</v>
      </c>
      <c r="N61" s="17">
        <f t="shared" ref="N61" si="281">L61-M61</f>
        <v>0.26857500000000456</v>
      </c>
      <c r="O61" s="15">
        <f t="shared" ref="O61" si="282">AVERAGE(F61:F62)</f>
        <v>0.40500000000000003</v>
      </c>
      <c r="P61" s="16">
        <f t="shared" ref="P61" si="283">O61*0.1</f>
        <v>4.0500000000000008E-2</v>
      </c>
      <c r="Q61" s="16">
        <f t="shared" ref="Q61" si="284">ABS(F61-F62)</f>
        <v>2.9999999999999971E-2</v>
      </c>
      <c r="R61" s="17">
        <f t="shared" ref="R61:R91" si="285">P61-Q61</f>
        <v>1.0500000000000037E-2</v>
      </c>
    </row>
    <row r="62" spans="1:18" x14ac:dyDescent="0.15">
      <c r="A62" s="14"/>
      <c r="B62" s="7">
        <v>93.41</v>
      </c>
      <c r="C62" s="8">
        <v>-1.17</v>
      </c>
      <c r="D62" s="7">
        <v>7.82</v>
      </c>
      <c r="E62" s="7">
        <v>79.78</v>
      </c>
      <c r="F62" s="22">
        <v>0.42</v>
      </c>
      <c r="G62" s="15"/>
      <c r="H62" s="15"/>
      <c r="I62" s="15"/>
      <c r="J62" s="15"/>
      <c r="K62" s="15"/>
      <c r="L62" s="16"/>
      <c r="M62" s="16"/>
      <c r="N62" s="17"/>
      <c r="O62" s="15"/>
      <c r="P62" s="16"/>
      <c r="Q62" s="16"/>
      <c r="R62" s="17"/>
    </row>
    <row r="63" spans="1:18" x14ac:dyDescent="0.15">
      <c r="A63" s="14">
        <v>31</v>
      </c>
      <c r="B63" s="7">
        <v>92.56</v>
      </c>
      <c r="C63" s="8">
        <v>-1.05</v>
      </c>
      <c r="D63" s="7">
        <v>7.26</v>
      </c>
      <c r="E63" s="7">
        <v>77.88</v>
      </c>
      <c r="F63" s="22">
        <v>1.1299999999999999</v>
      </c>
      <c r="G63" s="15">
        <f t="shared" ref="G63:I63" si="286">ABS(B63-B64)</f>
        <v>6.0000000000002274E-2</v>
      </c>
      <c r="H63" s="15">
        <f t="shared" si="286"/>
        <v>3.0000000000000027E-2</v>
      </c>
      <c r="I63" s="15">
        <f t="shared" si="286"/>
        <v>0.25</v>
      </c>
      <c r="J63" s="15">
        <f t="shared" ref="J63" si="287">SQRT(G63*G63+H63*H63+I63*I63)</f>
        <v>0.25884358211089625</v>
      </c>
      <c r="K63" s="15">
        <f t="shared" ref="K63" si="288">AVERAGE(E63:E64)</f>
        <v>77.954999999999998</v>
      </c>
      <c r="L63" s="16">
        <f t="shared" ref="L63" si="289">K63*0.5%</f>
        <v>0.38977499999999998</v>
      </c>
      <c r="M63" s="16">
        <f t="shared" ref="M63" si="290">ABS(E63-E64)</f>
        <v>0.15000000000000568</v>
      </c>
      <c r="N63" s="17">
        <f t="shared" ref="N63" si="291">L63-M63</f>
        <v>0.2397749999999943</v>
      </c>
      <c r="O63" s="15">
        <f t="shared" ref="O63" si="292">AVERAGE(F63:F64)</f>
        <v>1.1349999999999998</v>
      </c>
      <c r="P63" s="16">
        <f t="shared" ref="P63" si="293">O63*0.1</f>
        <v>0.11349999999999999</v>
      </c>
      <c r="Q63" s="16">
        <f t="shared" ref="Q63" si="294">ABS(F63-F64)</f>
        <v>1.0000000000000009E-2</v>
      </c>
      <c r="R63" s="17">
        <f t="shared" ref="R63" si="295">P63-Q63</f>
        <v>0.10349999999999998</v>
      </c>
    </row>
    <row r="64" spans="1:18" x14ac:dyDescent="0.15">
      <c r="A64" s="14"/>
      <c r="B64" s="7">
        <v>92.62</v>
      </c>
      <c r="C64" s="8">
        <v>-1.02</v>
      </c>
      <c r="D64" s="7">
        <v>7.01</v>
      </c>
      <c r="E64" s="7">
        <v>78.03</v>
      </c>
      <c r="F64" s="22">
        <v>1.1399999999999999</v>
      </c>
      <c r="G64" s="15"/>
      <c r="H64" s="15"/>
      <c r="I64" s="15"/>
      <c r="J64" s="15"/>
      <c r="K64" s="15"/>
      <c r="L64" s="16"/>
      <c r="M64" s="16"/>
      <c r="N64" s="17"/>
      <c r="O64" s="15"/>
      <c r="P64" s="16"/>
      <c r="Q64" s="16"/>
      <c r="R64" s="17"/>
    </row>
    <row r="65" spans="1:18" x14ac:dyDescent="0.15">
      <c r="A65" s="14">
        <v>32</v>
      </c>
      <c r="B65" s="7">
        <v>92.54</v>
      </c>
      <c r="C65" s="8">
        <v>-1.03</v>
      </c>
      <c r="D65" s="7">
        <v>6.75</v>
      </c>
      <c r="E65" s="7">
        <v>77.760000000000005</v>
      </c>
      <c r="F65" s="22">
        <v>1.1200000000000001</v>
      </c>
      <c r="G65" s="15">
        <f t="shared" ref="G65:I65" si="296">ABS(B65-B66)</f>
        <v>7.9999999999998295E-2</v>
      </c>
      <c r="H65" s="15">
        <f t="shared" si="296"/>
        <v>2.0000000000000018E-2</v>
      </c>
      <c r="I65" s="15">
        <f t="shared" si="296"/>
        <v>5.9999999999999609E-2</v>
      </c>
      <c r="J65" s="15">
        <f t="shared" ref="J65" si="297">SQRT(G65*G65+H65*H65+I65*I65)</f>
        <v>0.10198039027185413</v>
      </c>
      <c r="K65" s="15">
        <f t="shared" ref="K65" si="298">AVERAGE(E65:E66)</f>
        <v>77.885000000000005</v>
      </c>
      <c r="L65" s="16">
        <f t="shared" ref="L65" si="299">K65*0.5%</f>
        <v>0.38942500000000002</v>
      </c>
      <c r="M65" s="16">
        <f t="shared" ref="M65" si="300">ABS(E65-E66)</f>
        <v>0.25</v>
      </c>
      <c r="N65" s="17">
        <f t="shared" ref="N65" si="301">L65-M65</f>
        <v>0.13942500000000002</v>
      </c>
      <c r="O65" s="15">
        <f t="shared" ref="O65" si="302">AVERAGE(F65:F66)</f>
        <v>1.1150000000000002</v>
      </c>
      <c r="P65" s="16">
        <f t="shared" ref="P65" si="303">O65*0.1</f>
        <v>0.11150000000000003</v>
      </c>
      <c r="Q65" s="16">
        <f t="shared" ref="Q65" si="304">ABS(F65-F66)</f>
        <v>1.0000000000000009E-2</v>
      </c>
      <c r="R65" s="17">
        <f t="shared" si="155"/>
        <v>0.10150000000000002</v>
      </c>
    </row>
    <row r="66" spans="1:18" x14ac:dyDescent="0.15">
      <c r="A66" s="14"/>
      <c r="B66" s="7">
        <v>92.62</v>
      </c>
      <c r="C66" s="8">
        <v>-1.01</v>
      </c>
      <c r="D66" s="7">
        <v>6.81</v>
      </c>
      <c r="E66" s="7">
        <v>78.010000000000005</v>
      </c>
      <c r="F66" s="22">
        <v>1.1100000000000001</v>
      </c>
      <c r="G66" s="15"/>
      <c r="H66" s="15"/>
      <c r="I66" s="15"/>
      <c r="J66" s="15"/>
      <c r="K66" s="15"/>
      <c r="L66" s="16"/>
      <c r="M66" s="16"/>
      <c r="N66" s="17"/>
      <c r="O66" s="15"/>
      <c r="P66" s="16"/>
      <c r="Q66" s="16"/>
      <c r="R66" s="17"/>
    </row>
    <row r="67" spans="1:18" x14ac:dyDescent="0.15">
      <c r="A67" s="14">
        <v>33</v>
      </c>
      <c r="B67" s="7">
        <v>91.71</v>
      </c>
      <c r="C67" s="8">
        <v>-0.93</v>
      </c>
      <c r="D67" s="7">
        <v>7.54</v>
      </c>
      <c r="E67" s="7">
        <v>76</v>
      </c>
      <c r="F67" s="22">
        <v>2.5</v>
      </c>
      <c r="G67" s="15">
        <f t="shared" ref="G67:I67" si="305">ABS(B67-B68)</f>
        <v>8.0000000000012506E-2</v>
      </c>
      <c r="H67" s="15">
        <f t="shared" si="305"/>
        <v>1.0000000000000009E-2</v>
      </c>
      <c r="I67" s="15">
        <f t="shared" si="305"/>
        <v>0.21999999999999975</v>
      </c>
      <c r="J67" s="15">
        <f t="shared" ref="J67" si="306">SQRT(G67*G67+H67*H67+I67*I67)</f>
        <v>0.23430749027720366</v>
      </c>
      <c r="K67" s="15">
        <f t="shared" ref="K67" si="307">AVERAGE(E67:E68)</f>
        <v>76.09</v>
      </c>
      <c r="L67" s="16">
        <f t="shared" ref="L67" si="308">K67*0.5%</f>
        <v>0.38045000000000001</v>
      </c>
      <c r="M67" s="16">
        <f t="shared" ref="M67" si="309">ABS(E67-E68)</f>
        <v>0.18000000000000682</v>
      </c>
      <c r="N67" s="17">
        <f t="shared" ref="N67" si="310">L67-M67</f>
        <v>0.20044999999999319</v>
      </c>
      <c r="O67" s="15">
        <f t="shared" ref="O67" si="311">AVERAGE(F67:F68)</f>
        <v>2.5499999999999998</v>
      </c>
      <c r="P67" s="16">
        <f t="shared" ref="P67" si="312">O67*0.1</f>
        <v>0.255</v>
      </c>
      <c r="Q67" s="16">
        <f t="shared" ref="Q67" si="313">ABS(F67-F68)</f>
        <v>0.10000000000000009</v>
      </c>
      <c r="R67" s="17">
        <f t="shared" si="165"/>
        <v>0.15499999999999992</v>
      </c>
    </row>
    <row r="68" spans="1:18" x14ac:dyDescent="0.15">
      <c r="A68" s="14"/>
      <c r="B68" s="7">
        <v>91.79</v>
      </c>
      <c r="C68" s="8">
        <v>-0.92</v>
      </c>
      <c r="D68" s="7">
        <v>7.32</v>
      </c>
      <c r="E68" s="7">
        <v>76.180000000000007</v>
      </c>
      <c r="F68" s="22">
        <v>2.6</v>
      </c>
      <c r="G68" s="15"/>
      <c r="H68" s="15"/>
      <c r="I68" s="15"/>
      <c r="J68" s="15"/>
      <c r="K68" s="15"/>
      <c r="L68" s="16"/>
      <c r="M68" s="16"/>
      <c r="N68" s="17"/>
      <c r="O68" s="15"/>
      <c r="P68" s="16"/>
      <c r="Q68" s="16"/>
      <c r="R68" s="17"/>
    </row>
    <row r="69" spans="1:18" x14ac:dyDescent="0.15">
      <c r="A69" s="14">
        <v>34</v>
      </c>
      <c r="B69" s="7">
        <v>91.57</v>
      </c>
      <c r="C69" s="8">
        <v>-0.92</v>
      </c>
      <c r="D69" s="7">
        <v>7.52</v>
      </c>
      <c r="E69" s="7">
        <v>75.83</v>
      </c>
      <c r="F69" s="22">
        <v>2.5299999999999998</v>
      </c>
      <c r="G69" s="15">
        <f t="shared" ref="G69:I69" si="314">ABS(B69-B70)</f>
        <v>0.22000000000001307</v>
      </c>
      <c r="H69" s="15">
        <f t="shared" si="314"/>
        <v>2.0000000000000018E-2</v>
      </c>
      <c r="I69" s="15">
        <f t="shared" si="314"/>
        <v>0.28999999999999915</v>
      </c>
      <c r="J69" s="15">
        <f t="shared" ref="J69" si="315">SQRT(G69*G69+H69*H69+I69*I69)</f>
        <v>0.36455452267117089</v>
      </c>
      <c r="K69" s="15">
        <f t="shared" ref="K69" si="316">AVERAGE(E69:E70)</f>
        <v>76.004999999999995</v>
      </c>
      <c r="L69" s="16">
        <f t="shared" ref="L69" si="317">K69*0.5%</f>
        <v>0.380025</v>
      </c>
      <c r="M69" s="16">
        <f t="shared" ref="M69" si="318">ABS(E69-E70)</f>
        <v>0.35000000000000853</v>
      </c>
      <c r="N69" s="17">
        <f t="shared" ref="N69" si="319">L69-M69</f>
        <v>3.0024999999991475E-2</v>
      </c>
      <c r="O69" s="15">
        <f t="shared" ref="O69" si="320">AVERAGE(F69:F70)</f>
        <v>2.5999999999999996</v>
      </c>
      <c r="P69" s="16">
        <f t="shared" ref="P69" si="321">O69*0.1</f>
        <v>0.25999999999999995</v>
      </c>
      <c r="Q69" s="16">
        <f t="shared" ref="Q69" si="322">ABS(F69-F70)</f>
        <v>0.14000000000000012</v>
      </c>
      <c r="R69" s="17">
        <f t="shared" si="175"/>
        <v>0.11999999999999983</v>
      </c>
    </row>
    <row r="70" spans="1:18" x14ac:dyDescent="0.15">
      <c r="A70" s="14"/>
      <c r="B70" s="7">
        <v>91.79</v>
      </c>
      <c r="C70" s="8">
        <v>-0.9</v>
      </c>
      <c r="D70" s="7">
        <v>7.23</v>
      </c>
      <c r="E70" s="7">
        <v>76.180000000000007</v>
      </c>
      <c r="F70" s="22">
        <v>2.67</v>
      </c>
      <c r="G70" s="15"/>
      <c r="H70" s="15"/>
      <c r="I70" s="15"/>
      <c r="J70" s="15"/>
      <c r="K70" s="15"/>
      <c r="L70" s="16"/>
      <c r="M70" s="16"/>
      <c r="N70" s="17"/>
      <c r="O70" s="15"/>
      <c r="P70" s="16"/>
      <c r="Q70" s="16"/>
      <c r="R70" s="17"/>
    </row>
    <row r="71" spans="1:18" x14ac:dyDescent="0.15">
      <c r="A71" s="14">
        <v>35</v>
      </c>
      <c r="B71" s="7">
        <v>92.46</v>
      </c>
      <c r="C71" s="8">
        <v>-1.03</v>
      </c>
      <c r="D71" s="7">
        <v>7.25</v>
      </c>
      <c r="E71" s="7">
        <v>77.67</v>
      </c>
      <c r="F71" s="22">
        <v>1.51</v>
      </c>
      <c r="G71" s="15">
        <f t="shared" ref="G71:I71" si="323">ABS(B71-B72)</f>
        <v>1.0000000000005116E-2</v>
      </c>
      <c r="H71" s="15">
        <f t="shared" si="323"/>
        <v>4.0000000000000036E-2</v>
      </c>
      <c r="I71" s="15">
        <f t="shared" si="323"/>
        <v>0.58999999999999986</v>
      </c>
      <c r="J71" s="15">
        <f t="shared" ref="J71" si="324">SQRT(G71*G71+H71*H71+I71*I71)</f>
        <v>0.59143892330484971</v>
      </c>
      <c r="K71" s="15">
        <f t="shared" ref="K71" si="325">AVERAGE(E71:E72)</f>
        <v>77.685000000000002</v>
      </c>
      <c r="L71" s="16">
        <f t="shared" ref="L71" si="326">K71*0.5%</f>
        <v>0.38842500000000002</v>
      </c>
      <c r="M71" s="16">
        <f t="shared" ref="M71" si="327">ABS(E71-E72)</f>
        <v>3.0000000000001137E-2</v>
      </c>
      <c r="N71" s="17">
        <f t="shared" ref="N71" si="328">L71-M71</f>
        <v>0.35842499999999888</v>
      </c>
      <c r="O71" s="15">
        <f t="shared" ref="O71" si="329">AVERAGE(F71:F72)</f>
        <v>1.5449999999999999</v>
      </c>
      <c r="P71" s="16">
        <f t="shared" ref="P71" si="330">O71*0.1</f>
        <v>0.1545</v>
      </c>
      <c r="Q71" s="16">
        <f t="shared" ref="Q71" si="331">ABS(F71-F72)</f>
        <v>7.0000000000000062E-2</v>
      </c>
      <c r="R71" s="17">
        <f t="shared" si="185"/>
        <v>8.4499999999999936E-2</v>
      </c>
    </row>
    <row r="72" spans="1:18" x14ac:dyDescent="0.15">
      <c r="A72" s="14"/>
      <c r="B72" s="7">
        <v>92.47</v>
      </c>
      <c r="C72" s="8">
        <v>-0.99</v>
      </c>
      <c r="D72" s="7">
        <v>6.66</v>
      </c>
      <c r="E72" s="7">
        <v>77.7</v>
      </c>
      <c r="F72" s="22">
        <v>1.58</v>
      </c>
      <c r="G72" s="15"/>
      <c r="H72" s="15"/>
      <c r="I72" s="15"/>
      <c r="J72" s="15"/>
      <c r="K72" s="15"/>
      <c r="L72" s="16"/>
      <c r="M72" s="16"/>
      <c r="N72" s="17"/>
      <c r="O72" s="15"/>
      <c r="P72" s="16"/>
      <c r="Q72" s="16"/>
      <c r="R72" s="17"/>
    </row>
    <row r="73" spans="1:18" x14ac:dyDescent="0.15">
      <c r="A73" s="14">
        <v>36</v>
      </c>
      <c r="B73" s="7">
        <v>92.63</v>
      </c>
      <c r="C73" s="8">
        <v>-1.04</v>
      </c>
      <c r="D73" s="7">
        <v>6.64</v>
      </c>
      <c r="E73" s="7">
        <v>77.98</v>
      </c>
      <c r="F73" s="22">
        <v>1.58</v>
      </c>
      <c r="G73" s="15">
        <f t="shared" ref="G73:I73" si="332">ABS(B73-B74)</f>
        <v>0.15999999999999659</v>
      </c>
      <c r="H73" s="15">
        <f t="shared" si="332"/>
        <v>2.0000000000000018E-2</v>
      </c>
      <c r="I73" s="15">
        <f t="shared" si="332"/>
        <v>0.40000000000000036</v>
      </c>
      <c r="J73" s="15">
        <f t="shared" ref="J73" si="333">SQRT(G73*G73+H73*H73+I73*I73)</f>
        <v>0.43127717305695557</v>
      </c>
      <c r="K73" s="15">
        <f t="shared" ref="K73" si="334">AVERAGE(E73:E74)</f>
        <v>77.84</v>
      </c>
      <c r="L73" s="16">
        <f t="shared" ref="L73" si="335">K73*0.5%</f>
        <v>0.38920000000000005</v>
      </c>
      <c r="M73" s="16">
        <f t="shared" ref="M73" si="336">ABS(E73-E74)</f>
        <v>0.28000000000000114</v>
      </c>
      <c r="N73" s="17">
        <f t="shared" ref="N73" si="337">L73-M73</f>
        <v>0.10919999999999891</v>
      </c>
      <c r="O73" s="15">
        <f t="shared" ref="O73" si="338">AVERAGE(F73:F74)</f>
        <v>1.5350000000000001</v>
      </c>
      <c r="P73" s="16">
        <f t="shared" ref="P73" si="339">O73*0.1</f>
        <v>0.15350000000000003</v>
      </c>
      <c r="Q73" s="16">
        <f t="shared" ref="Q73" si="340">ABS(F73-F74)</f>
        <v>9.000000000000008E-2</v>
      </c>
      <c r="R73" s="17">
        <f t="shared" si="195"/>
        <v>6.3499999999999945E-2</v>
      </c>
    </row>
    <row r="74" spans="1:18" x14ac:dyDescent="0.15">
      <c r="A74" s="14"/>
      <c r="B74" s="7">
        <v>92.47</v>
      </c>
      <c r="C74" s="8">
        <v>-1.02</v>
      </c>
      <c r="D74" s="7">
        <v>7.04</v>
      </c>
      <c r="E74" s="7">
        <v>77.7</v>
      </c>
      <c r="F74" s="22">
        <v>1.49</v>
      </c>
      <c r="G74" s="15"/>
      <c r="H74" s="15"/>
      <c r="I74" s="15"/>
      <c r="J74" s="15"/>
      <c r="K74" s="15"/>
      <c r="L74" s="16"/>
      <c r="M74" s="16"/>
      <c r="N74" s="17"/>
      <c r="O74" s="15"/>
      <c r="P74" s="16"/>
      <c r="Q74" s="16"/>
      <c r="R74" s="17"/>
    </row>
    <row r="75" spans="1:18" x14ac:dyDescent="0.15">
      <c r="A75" s="14">
        <v>37</v>
      </c>
      <c r="B75" s="7">
        <v>90.84</v>
      </c>
      <c r="C75" s="8">
        <v>-0.82</v>
      </c>
      <c r="D75" s="7">
        <v>7.81</v>
      </c>
      <c r="E75" s="7">
        <v>74.040000000000006</v>
      </c>
      <c r="F75" s="22">
        <v>3.14</v>
      </c>
      <c r="G75" s="15">
        <f t="shared" ref="G75:I75" si="341">ABS(B75-B76)</f>
        <v>0.18999999999999773</v>
      </c>
      <c r="H75" s="15">
        <f t="shared" si="341"/>
        <v>3.0000000000000027E-2</v>
      </c>
      <c r="I75" s="15">
        <f t="shared" si="341"/>
        <v>0.27000000000000046</v>
      </c>
      <c r="J75" s="15">
        <f t="shared" ref="J75" si="342">SQRT(G75*G75+H75*H75+I75*I75)</f>
        <v>0.3315116890850146</v>
      </c>
      <c r="K75" s="15">
        <f t="shared" ref="K75" si="343">AVERAGE(E75:E76)</f>
        <v>74.22</v>
      </c>
      <c r="L75" s="16">
        <f t="shared" ref="L75" si="344">K75*0.5%</f>
        <v>0.37109999999999999</v>
      </c>
      <c r="M75" s="16">
        <f t="shared" ref="M75" si="345">ABS(E75-E76)</f>
        <v>0.35999999999999943</v>
      </c>
      <c r="N75" s="17">
        <f t="shared" ref="N75" si="346">L75-M75</f>
        <v>1.1100000000000554E-2</v>
      </c>
      <c r="O75" s="15">
        <f t="shared" ref="O75" si="347">AVERAGE(F75:F76)</f>
        <v>3.17</v>
      </c>
      <c r="P75" s="16">
        <f t="shared" ref="P75" si="348">O75*0.1</f>
        <v>0.317</v>
      </c>
      <c r="Q75" s="16">
        <f t="shared" ref="Q75" si="349">ABS(F75-F76)</f>
        <v>6.0000000000000053E-2</v>
      </c>
      <c r="R75" s="17">
        <f t="shared" si="205"/>
        <v>0.25699999999999995</v>
      </c>
    </row>
    <row r="76" spans="1:18" x14ac:dyDescent="0.15">
      <c r="A76" s="14"/>
      <c r="B76" s="7">
        <v>91.03</v>
      </c>
      <c r="C76" s="8">
        <v>-0.85</v>
      </c>
      <c r="D76" s="7">
        <v>8.08</v>
      </c>
      <c r="E76" s="7">
        <v>74.400000000000006</v>
      </c>
      <c r="F76" s="22">
        <v>3.2</v>
      </c>
      <c r="G76" s="15"/>
      <c r="H76" s="15"/>
      <c r="I76" s="15"/>
      <c r="J76" s="15"/>
      <c r="K76" s="15"/>
      <c r="L76" s="16"/>
      <c r="M76" s="16"/>
      <c r="N76" s="17"/>
      <c r="O76" s="15"/>
      <c r="P76" s="16"/>
      <c r="Q76" s="16"/>
      <c r="R76" s="17"/>
    </row>
    <row r="77" spans="1:18" x14ac:dyDescent="0.15">
      <c r="A77" s="14">
        <v>38</v>
      </c>
      <c r="B77" s="7">
        <v>90.82</v>
      </c>
      <c r="C77" s="8">
        <v>-0.83</v>
      </c>
      <c r="D77" s="7">
        <v>8.34</v>
      </c>
      <c r="E77" s="7">
        <v>74.040000000000006</v>
      </c>
      <c r="F77" s="22">
        <v>3.08</v>
      </c>
      <c r="G77" s="15">
        <f t="shared" ref="G77:I77" si="350">ABS(B77-B78)</f>
        <v>4.0000000000006253E-2</v>
      </c>
      <c r="H77" s="15">
        <f t="shared" si="350"/>
        <v>1.0000000000000009E-2</v>
      </c>
      <c r="I77" s="15">
        <f t="shared" si="350"/>
        <v>0.20999999999999908</v>
      </c>
      <c r="J77" s="15">
        <f t="shared" ref="J77" si="351">SQRT(G77*G77+H77*H77+I77*I77)</f>
        <v>0.21400934559032722</v>
      </c>
      <c r="K77" s="15">
        <f t="shared" ref="K77" si="352">AVERAGE(E77:E78)</f>
        <v>74.069999999999993</v>
      </c>
      <c r="L77" s="16">
        <f t="shared" ref="L77" si="353">K77*0.5%</f>
        <v>0.37034999999999996</v>
      </c>
      <c r="M77" s="16">
        <f t="shared" ref="M77" si="354">ABS(E77-E78)</f>
        <v>5.9999999999988063E-2</v>
      </c>
      <c r="N77" s="17">
        <f t="shared" ref="N77" si="355">L77-M77</f>
        <v>0.31035000000001189</v>
      </c>
      <c r="O77" s="15">
        <f t="shared" ref="O77" si="356">AVERAGE(F77:F78)</f>
        <v>3.0750000000000002</v>
      </c>
      <c r="P77" s="16">
        <f t="shared" ref="P77" si="357">O77*0.1</f>
        <v>0.30750000000000005</v>
      </c>
      <c r="Q77" s="16">
        <f t="shared" ref="Q77" si="358">ABS(F77-F78)</f>
        <v>1.0000000000000231E-2</v>
      </c>
      <c r="R77" s="17">
        <f t="shared" si="215"/>
        <v>0.29749999999999982</v>
      </c>
    </row>
    <row r="78" spans="1:18" x14ac:dyDescent="0.15">
      <c r="A78" s="14"/>
      <c r="B78" s="7">
        <v>90.86</v>
      </c>
      <c r="C78" s="8">
        <v>-0.82</v>
      </c>
      <c r="D78" s="7">
        <v>8.1300000000000008</v>
      </c>
      <c r="E78" s="7">
        <v>74.099999999999994</v>
      </c>
      <c r="F78" s="22">
        <v>3.07</v>
      </c>
      <c r="G78" s="15"/>
      <c r="H78" s="15"/>
      <c r="I78" s="15"/>
      <c r="J78" s="15"/>
      <c r="K78" s="15"/>
      <c r="L78" s="16"/>
      <c r="M78" s="16"/>
      <c r="N78" s="17"/>
      <c r="O78" s="15"/>
      <c r="P78" s="16"/>
      <c r="Q78" s="16"/>
      <c r="R78" s="17"/>
    </row>
    <row r="79" spans="1:18" x14ac:dyDescent="0.15">
      <c r="A79" s="14">
        <v>39</v>
      </c>
      <c r="B79" s="7">
        <v>91.75</v>
      </c>
      <c r="C79" s="8">
        <v>-0.94</v>
      </c>
      <c r="D79" s="7">
        <v>7.47</v>
      </c>
      <c r="E79" s="7">
        <v>75.48</v>
      </c>
      <c r="F79" s="22">
        <v>2.6</v>
      </c>
      <c r="G79" s="15">
        <f t="shared" ref="G79:I79" si="359">ABS(B79-B80)</f>
        <v>3.0000000000001137E-2</v>
      </c>
      <c r="H79" s="15">
        <f t="shared" si="359"/>
        <v>0</v>
      </c>
      <c r="I79" s="15">
        <f t="shared" si="359"/>
        <v>4.9999999999999822E-2</v>
      </c>
      <c r="J79" s="15">
        <f t="shared" ref="J79" si="360">SQRT(G79*G79+H79*H79+I79*I79)</f>
        <v>5.8309518948453438E-2</v>
      </c>
      <c r="K79" s="15">
        <f t="shared" ref="K79" si="361">AVERAGE(E79:E80)</f>
        <v>75.314999999999998</v>
      </c>
      <c r="L79" s="16">
        <f t="shared" ref="L79" si="362">K79*0.5%</f>
        <v>0.37657499999999999</v>
      </c>
      <c r="M79" s="16">
        <f t="shared" ref="M79" si="363">ABS(E79-E80)</f>
        <v>0.32999999999999829</v>
      </c>
      <c r="N79" s="17">
        <f t="shared" ref="N79" si="364">L79-M79</f>
        <v>4.6575000000001698E-2</v>
      </c>
      <c r="O79" s="15">
        <f t="shared" ref="O79" si="365">AVERAGE(F79:F80)</f>
        <v>2.645</v>
      </c>
      <c r="P79" s="16">
        <f t="shared" ref="P79" si="366">O79*0.1</f>
        <v>0.26450000000000001</v>
      </c>
      <c r="Q79" s="16">
        <f t="shared" ref="Q79" si="367">ABS(F79-F80)</f>
        <v>8.9999999999999858E-2</v>
      </c>
      <c r="R79" s="17">
        <f t="shared" si="225"/>
        <v>0.17450000000000015</v>
      </c>
    </row>
    <row r="80" spans="1:18" x14ac:dyDescent="0.15">
      <c r="A80" s="14"/>
      <c r="B80" s="7">
        <v>91.78</v>
      </c>
      <c r="C80" s="8">
        <v>-0.94</v>
      </c>
      <c r="D80" s="7">
        <v>7.52</v>
      </c>
      <c r="E80" s="7">
        <v>75.150000000000006</v>
      </c>
      <c r="F80" s="22">
        <v>2.69</v>
      </c>
      <c r="G80" s="15"/>
      <c r="H80" s="15"/>
      <c r="I80" s="15"/>
      <c r="J80" s="15"/>
      <c r="K80" s="15"/>
      <c r="L80" s="16"/>
      <c r="M80" s="16"/>
      <c r="N80" s="17"/>
      <c r="O80" s="15"/>
      <c r="P80" s="16"/>
      <c r="Q80" s="16"/>
      <c r="R80" s="17"/>
    </row>
    <row r="81" spans="1:18" x14ac:dyDescent="0.15">
      <c r="A81" s="14">
        <v>40</v>
      </c>
      <c r="B81" s="7">
        <v>91.94</v>
      </c>
      <c r="C81" s="8">
        <v>-0.97</v>
      </c>
      <c r="D81" s="7">
        <v>7.5</v>
      </c>
      <c r="E81" s="7">
        <v>76.42</v>
      </c>
      <c r="F81" s="22">
        <v>2.68</v>
      </c>
      <c r="G81" s="15">
        <f t="shared" ref="G81:I81" si="368">ABS(B81-B82)</f>
        <v>0.15999999999999659</v>
      </c>
      <c r="H81" s="15">
        <f t="shared" si="368"/>
        <v>3.9999999999999925E-2</v>
      </c>
      <c r="I81" s="15">
        <f t="shared" si="368"/>
        <v>9.9999999999997868E-3</v>
      </c>
      <c r="J81" s="15">
        <f t="shared" ref="J81" si="369">SQRT(G81*G81+H81*H81+I81*I81)</f>
        <v>0.16522711641857973</v>
      </c>
      <c r="K81" s="15">
        <f t="shared" ref="K81" si="370">AVERAGE(E81:E82)</f>
        <v>76.284999999999997</v>
      </c>
      <c r="L81" s="16">
        <f t="shared" ref="L81" si="371">K81*0.5%</f>
        <v>0.38142500000000001</v>
      </c>
      <c r="M81" s="16">
        <f t="shared" ref="M81" si="372">ABS(E81-E82)</f>
        <v>0.26999999999999602</v>
      </c>
      <c r="N81" s="17">
        <f t="shared" ref="N81" si="373">L81-M81</f>
        <v>0.11142500000000399</v>
      </c>
      <c r="O81" s="15">
        <f t="shared" ref="O81" si="374">AVERAGE(F81:F82)</f>
        <v>2.64</v>
      </c>
      <c r="P81" s="16">
        <f t="shared" ref="P81" si="375">O81*0.1</f>
        <v>0.26400000000000001</v>
      </c>
      <c r="Q81" s="16">
        <f t="shared" ref="Q81" si="376">ABS(F81-F82)</f>
        <v>8.0000000000000071E-2</v>
      </c>
      <c r="R81" s="17">
        <f t="shared" si="235"/>
        <v>0.18399999999999994</v>
      </c>
    </row>
    <row r="82" spans="1:18" x14ac:dyDescent="0.15">
      <c r="A82" s="14"/>
      <c r="B82" s="7">
        <v>91.78</v>
      </c>
      <c r="C82" s="8">
        <v>-0.93</v>
      </c>
      <c r="D82" s="7">
        <v>7.51</v>
      </c>
      <c r="E82" s="7">
        <v>76.150000000000006</v>
      </c>
      <c r="F82" s="22">
        <v>2.6</v>
      </c>
      <c r="G82" s="15"/>
      <c r="H82" s="15"/>
      <c r="I82" s="15"/>
      <c r="J82" s="15"/>
      <c r="K82" s="15"/>
      <c r="L82" s="16"/>
      <c r="M82" s="16"/>
      <c r="N82" s="17"/>
      <c r="O82" s="15"/>
      <c r="P82" s="16"/>
      <c r="Q82" s="16"/>
      <c r="R82" s="17"/>
    </row>
    <row r="83" spans="1:18" x14ac:dyDescent="0.15">
      <c r="A83" s="14">
        <v>41</v>
      </c>
      <c r="B83" s="7">
        <v>90.82</v>
      </c>
      <c r="C83" s="8">
        <v>-0.85</v>
      </c>
      <c r="D83" s="7">
        <v>8.43</v>
      </c>
      <c r="E83" s="7">
        <v>73.66</v>
      </c>
      <c r="F83" s="22">
        <v>5.6</v>
      </c>
      <c r="G83" s="15">
        <f t="shared" ref="G83:I83" si="377">ABS(B83-B84)</f>
        <v>7.000000000000739E-2</v>
      </c>
      <c r="H83" s="15">
        <f t="shared" si="377"/>
        <v>3.0000000000000027E-2</v>
      </c>
      <c r="I83" s="15">
        <f t="shared" si="377"/>
        <v>0.54</v>
      </c>
      <c r="J83" s="15">
        <f t="shared" ref="J83" si="378">SQRT(G83*G83+H83*H83+I83*I83)</f>
        <v>0.54534392817744015</v>
      </c>
      <c r="K83" s="15">
        <f t="shared" ref="K83" si="379">AVERAGE(E83:E84)</f>
        <v>73.905000000000001</v>
      </c>
      <c r="L83" s="16">
        <f t="shared" ref="L83" si="380">K83*0.5%</f>
        <v>0.36952499999999999</v>
      </c>
      <c r="M83" s="16">
        <f t="shared" ref="M83" si="381">ABS(E83-E84)</f>
        <v>0.49000000000000909</v>
      </c>
      <c r="N83" s="17">
        <f t="shared" ref="N83" si="382">L83-M83</f>
        <v>-0.1204750000000091</v>
      </c>
      <c r="O83" s="15">
        <f t="shared" ref="O83" si="383">AVERAGE(F83:F84)</f>
        <v>5.75</v>
      </c>
      <c r="P83" s="16">
        <f t="shared" ref="P83" si="384">O83*0.1</f>
        <v>0.57500000000000007</v>
      </c>
      <c r="Q83" s="16">
        <f t="shared" ref="Q83" si="385">ABS(F83-F84)</f>
        <v>0.30000000000000071</v>
      </c>
      <c r="R83" s="17">
        <f t="shared" si="245"/>
        <v>0.27499999999999936</v>
      </c>
    </row>
    <row r="84" spans="1:18" x14ac:dyDescent="0.15">
      <c r="A84" s="14"/>
      <c r="B84" s="7">
        <v>90.89</v>
      </c>
      <c r="C84" s="8">
        <v>-0.82</v>
      </c>
      <c r="D84" s="7">
        <v>7.89</v>
      </c>
      <c r="E84" s="7">
        <v>74.150000000000006</v>
      </c>
      <c r="F84" s="22">
        <v>5.9</v>
      </c>
      <c r="G84" s="15"/>
      <c r="H84" s="15"/>
      <c r="I84" s="15"/>
      <c r="J84" s="15"/>
      <c r="K84" s="15"/>
      <c r="L84" s="16"/>
      <c r="M84" s="16"/>
      <c r="N84" s="17"/>
      <c r="O84" s="15"/>
      <c r="P84" s="16"/>
      <c r="Q84" s="16"/>
      <c r="R84" s="17"/>
    </row>
    <row r="85" spans="1:18" x14ac:dyDescent="0.15">
      <c r="A85" s="14">
        <v>42</v>
      </c>
      <c r="B85" s="7">
        <v>91.16</v>
      </c>
      <c r="C85" s="8">
        <v>-0.9</v>
      </c>
      <c r="D85" s="7">
        <v>8.5399999999999991</v>
      </c>
      <c r="E85" s="7">
        <v>74.58</v>
      </c>
      <c r="F85" s="22">
        <v>5.86</v>
      </c>
      <c r="G85" s="15">
        <f t="shared" ref="G85:I85" si="386">ABS(B85-B86)</f>
        <v>0.21999999999999886</v>
      </c>
      <c r="H85" s="15">
        <f t="shared" si="386"/>
        <v>5.0000000000000044E-2</v>
      </c>
      <c r="I85" s="15">
        <f t="shared" si="386"/>
        <v>1.9999999999999574E-2</v>
      </c>
      <c r="J85" s="15">
        <f t="shared" ref="J85" si="387">SQRT(G85*G85+H85*H85+I85*I85)</f>
        <v>0.22649503305812135</v>
      </c>
      <c r="K85" s="15">
        <f t="shared" ref="K85" si="388">AVERAGE(E85:E86)</f>
        <v>74.430000000000007</v>
      </c>
      <c r="L85" s="16">
        <f t="shared" ref="L85" si="389">K85*0.5%</f>
        <v>0.37215000000000004</v>
      </c>
      <c r="M85" s="16">
        <f t="shared" ref="M85" si="390">ABS(E85-E86)</f>
        <v>0.29999999999999716</v>
      </c>
      <c r="N85" s="17">
        <f t="shared" ref="N85" si="391">L85-M85</f>
        <v>7.2150000000002878E-2</v>
      </c>
      <c r="O85" s="15">
        <f t="shared" ref="O85" si="392">AVERAGE(F85:F86)</f>
        <v>5.92</v>
      </c>
      <c r="P85" s="16">
        <f t="shared" ref="P85" si="393">O85*0.1</f>
        <v>0.59199999999999997</v>
      </c>
      <c r="Q85" s="16">
        <f t="shared" ref="Q85" si="394">ABS(F85-F86)</f>
        <v>0.12000000000000011</v>
      </c>
      <c r="R85" s="17">
        <f t="shared" si="255"/>
        <v>0.47199999999999986</v>
      </c>
    </row>
    <row r="86" spans="1:18" x14ac:dyDescent="0.15">
      <c r="A86" s="14"/>
      <c r="B86" s="7">
        <v>90.94</v>
      </c>
      <c r="C86" s="8">
        <v>-0.85</v>
      </c>
      <c r="D86" s="7">
        <v>8.52</v>
      </c>
      <c r="E86" s="7">
        <v>74.28</v>
      </c>
      <c r="F86" s="22">
        <v>5.98</v>
      </c>
      <c r="G86" s="15"/>
      <c r="H86" s="15"/>
      <c r="I86" s="15"/>
      <c r="J86" s="15"/>
      <c r="K86" s="15"/>
      <c r="L86" s="16"/>
      <c r="M86" s="16"/>
      <c r="N86" s="17"/>
      <c r="O86" s="15"/>
      <c r="P86" s="16"/>
      <c r="Q86" s="16"/>
      <c r="R86" s="17"/>
    </row>
    <row r="87" spans="1:18" x14ac:dyDescent="0.15">
      <c r="A87" s="14">
        <v>43</v>
      </c>
      <c r="B87" s="7">
        <v>90.89</v>
      </c>
      <c r="C87" s="8">
        <v>-0.82</v>
      </c>
      <c r="D87" s="7">
        <v>7.77</v>
      </c>
      <c r="E87" s="7">
        <v>74.150000000000006</v>
      </c>
      <c r="F87" s="22">
        <v>3.95</v>
      </c>
      <c r="G87" s="15">
        <f t="shared" ref="G87:I87" si="395">ABS(B87-B88)</f>
        <v>1.0000000000005116E-2</v>
      </c>
      <c r="H87" s="15">
        <f t="shared" si="395"/>
        <v>1.9999999999999907E-2</v>
      </c>
      <c r="I87" s="15">
        <f t="shared" si="395"/>
        <v>0.11999999999999922</v>
      </c>
      <c r="J87" s="15">
        <f t="shared" ref="J87" si="396">SQRT(G87*G87+H87*H87+I87*I87)</f>
        <v>0.12206555615733666</v>
      </c>
      <c r="K87" s="15">
        <f t="shared" ref="K87" si="397">AVERAGE(E87:E88)</f>
        <v>74.150000000000006</v>
      </c>
      <c r="L87" s="16">
        <f t="shared" ref="L87" si="398">K87*0.5%</f>
        <v>0.37075000000000002</v>
      </c>
      <c r="M87" s="16">
        <f t="shared" ref="M87" si="399">ABS(E87-E88)</f>
        <v>0</v>
      </c>
      <c r="N87" s="17">
        <f t="shared" ref="N87" si="400">L87-M87</f>
        <v>0.37075000000000002</v>
      </c>
      <c r="O87" s="15">
        <f t="shared" ref="O87" si="401">AVERAGE(F87:F88)</f>
        <v>3.89</v>
      </c>
      <c r="P87" s="16">
        <f t="shared" ref="P87" si="402">O87*0.1</f>
        <v>0.38900000000000001</v>
      </c>
      <c r="Q87" s="16">
        <f t="shared" ref="Q87" si="403">ABS(F87-F88)</f>
        <v>0.12000000000000011</v>
      </c>
      <c r="R87" s="17">
        <f t="shared" si="265"/>
        <v>0.26899999999999991</v>
      </c>
    </row>
    <row r="88" spans="1:18" x14ac:dyDescent="0.15">
      <c r="A88" s="14"/>
      <c r="B88" s="7">
        <v>90.88</v>
      </c>
      <c r="C88" s="8">
        <v>-0.8</v>
      </c>
      <c r="D88" s="7">
        <v>7.65</v>
      </c>
      <c r="E88" s="7">
        <v>74.150000000000006</v>
      </c>
      <c r="F88" s="22">
        <v>3.83</v>
      </c>
      <c r="G88" s="15"/>
      <c r="H88" s="15"/>
      <c r="I88" s="15"/>
      <c r="J88" s="15"/>
      <c r="K88" s="15"/>
      <c r="L88" s="16"/>
      <c r="M88" s="16"/>
      <c r="N88" s="17"/>
      <c r="O88" s="15"/>
      <c r="P88" s="16"/>
      <c r="Q88" s="16"/>
      <c r="R88" s="17"/>
    </row>
    <row r="89" spans="1:18" x14ac:dyDescent="0.15">
      <c r="A89" s="14">
        <v>44</v>
      </c>
      <c r="B89" s="7">
        <v>90.9</v>
      </c>
      <c r="C89" s="8">
        <v>-0.82</v>
      </c>
      <c r="D89" s="7">
        <v>7.58</v>
      </c>
      <c r="E89" s="7">
        <v>74.11</v>
      </c>
      <c r="F89" s="22">
        <v>3.7</v>
      </c>
      <c r="G89" s="15">
        <f t="shared" ref="G89:I89" si="404">ABS(B89-B90)</f>
        <v>5.0000000000011369E-2</v>
      </c>
      <c r="H89" s="15">
        <f t="shared" si="404"/>
        <v>1.9999999999999907E-2</v>
      </c>
      <c r="I89" s="15">
        <f t="shared" si="404"/>
        <v>0.13999999999999968</v>
      </c>
      <c r="J89" s="15">
        <f t="shared" ref="J89" si="405">SQRT(G89*G89+H89*H89+I89*I89)</f>
        <v>0.15000000000000349</v>
      </c>
      <c r="K89" s="15">
        <f t="shared" ref="K89" si="406">AVERAGE(E89:E90)</f>
        <v>74.09</v>
      </c>
      <c r="L89" s="16">
        <f t="shared" ref="L89" si="407">K89*0.5%</f>
        <v>0.37045</v>
      </c>
      <c r="M89" s="16">
        <f t="shared" ref="M89" si="408">ABS(E89-E90)</f>
        <v>4.0000000000006253E-2</v>
      </c>
      <c r="N89" s="17">
        <f t="shared" ref="N89" si="409">L89-M89</f>
        <v>0.33044999999999375</v>
      </c>
      <c r="O89" s="15">
        <f t="shared" ref="O89" si="410">AVERAGE(F89:F90)</f>
        <v>3.7650000000000001</v>
      </c>
      <c r="P89" s="16">
        <f t="shared" ref="P89" si="411">O89*0.1</f>
        <v>0.37650000000000006</v>
      </c>
      <c r="Q89" s="16">
        <f t="shared" ref="Q89" si="412">ABS(F89-F90)</f>
        <v>0.12999999999999989</v>
      </c>
      <c r="R89" s="17">
        <f t="shared" si="275"/>
        <v>0.24650000000000016</v>
      </c>
    </row>
    <row r="90" spans="1:18" x14ac:dyDescent="0.15">
      <c r="A90" s="14"/>
      <c r="B90" s="7">
        <v>90.85</v>
      </c>
      <c r="C90" s="8">
        <v>-0.8</v>
      </c>
      <c r="D90" s="7">
        <v>7.72</v>
      </c>
      <c r="E90" s="7">
        <v>74.069999999999993</v>
      </c>
      <c r="F90" s="22">
        <v>3.83</v>
      </c>
      <c r="G90" s="15"/>
      <c r="H90" s="15"/>
      <c r="I90" s="15"/>
      <c r="J90" s="15"/>
      <c r="K90" s="15"/>
      <c r="L90" s="16"/>
      <c r="M90" s="16"/>
      <c r="N90" s="17"/>
      <c r="O90" s="15"/>
      <c r="P90" s="16"/>
      <c r="Q90" s="16"/>
      <c r="R90" s="17"/>
    </row>
    <row r="91" spans="1:18" x14ac:dyDescent="0.15">
      <c r="A91" s="14">
        <v>45</v>
      </c>
      <c r="B91" s="7">
        <v>92.57</v>
      </c>
      <c r="C91" s="8">
        <v>-1.1100000000000001</v>
      </c>
      <c r="D91" s="7">
        <v>8.02</v>
      </c>
      <c r="E91" s="7">
        <v>77.599999999999994</v>
      </c>
      <c r="F91" s="22">
        <v>0.7</v>
      </c>
      <c r="G91" s="15">
        <f t="shared" ref="G91:I91" si="413">ABS(B91-B92)</f>
        <v>0.11000000000001364</v>
      </c>
      <c r="H91" s="15">
        <f t="shared" si="413"/>
        <v>1.0000000000000009E-2</v>
      </c>
      <c r="I91" s="15">
        <f t="shared" si="413"/>
        <v>0.55999999999999961</v>
      </c>
      <c r="J91" s="15">
        <f t="shared" ref="J91" si="414">SQRT(G91*G91+H91*H91+I91*I91)</f>
        <v>0.57078892771321565</v>
      </c>
      <c r="K91" s="15">
        <f t="shared" ref="K91" si="415">AVERAGE(E91:E92)</f>
        <v>77.805000000000007</v>
      </c>
      <c r="L91" s="16">
        <f t="shared" ref="L91" si="416">K91*0.5%</f>
        <v>0.38902500000000007</v>
      </c>
      <c r="M91" s="16">
        <f t="shared" ref="M91" si="417">ABS(E91-E92)</f>
        <v>0.4100000000000108</v>
      </c>
      <c r="N91" s="17">
        <f t="shared" ref="N91" si="418">L91-M91</f>
        <v>-2.0975000000010735E-2</v>
      </c>
      <c r="O91" s="15">
        <f t="shared" ref="O91" si="419">AVERAGE(F91:F92)</f>
        <v>0.69</v>
      </c>
      <c r="P91" s="16">
        <f t="shared" ref="P91" si="420">O91*0.1</f>
        <v>6.8999999999999992E-2</v>
      </c>
      <c r="Q91" s="16">
        <f t="shared" ref="Q91" si="421">ABS(F91-F92)</f>
        <v>1.9999999999999907E-2</v>
      </c>
      <c r="R91" s="17">
        <f t="shared" si="285"/>
        <v>4.9000000000000085E-2</v>
      </c>
    </row>
    <row r="92" spans="1:18" x14ac:dyDescent="0.15">
      <c r="A92" s="14"/>
      <c r="B92" s="7">
        <v>92.68</v>
      </c>
      <c r="C92" s="8">
        <v>-1.1000000000000001</v>
      </c>
      <c r="D92" s="7">
        <v>7.46</v>
      </c>
      <c r="E92" s="7">
        <v>78.010000000000005</v>
      </c>
      <c r="F92" s="22">
        <v>0.68</v>
      </c>
      <c r="G92" s="15"/>
      <c r="H92" s="15"/>
      <c r="I92" s="15"/>
      <c r="J92" s="15"/>
      <c r="K92" s="15"/>
      <c r="L92" s="16"/>
      <c r="M92" s="16"/>
      <c r="N92" s="17"/>
      <c r="O92" s="15"/>
      <c r="P92" s="16"/>
      <c r="Q92" s="16"/>
      <c r="R92" s="17"/>
    </row>
    <row r="93" spans="1:18" x14ac:dyDescent="0.15">
      <c r="A93" s="14">
        <v>46</v>
      </c>
      <c r="B93" s="7">
        <v>93.12</v>
      </c>
      <c r="C93" s="8">
        <v>-1.17</v>
      </c>
      <c r="D93" s="7">
        <v>8.7899999999999991</v>
      </c>
      <c r="E93" s="7">
        <v>79.14</v>
      </c>
      <c r="F93" s="22">
        <v>0.66</v>
      </c>
      <c r="G93" s="15">
        <f t="shared" ref="G93:I93" si="422">ABS(B93-B94)</f>
        <v>8.99999999999892E-2</v>
      </c>
      <c r="H93" s="15">
        <f t="shared" si="422"/>
        <v>5.0000000000000044E-2</v>
      </c>
      <c r="I93" s="15">
        <f t="shared" si="422"/>
        <v>1.9999999999999574E-2</v>
      </c>
      <c r="J93" s="15">
        <f t="shared" ref="J93" si="423">SQRT(G93*G93+H93*H93+I93*I93)</f>
        <v>0.10488088481700583</v>
      </c>
      <c r="K93" s="15">
        <f t="shared" ref="K93" si="424">AVERAGE(E93:E94)</f>
        <v>79.2</v>
      </c>
      <c r="L93" s="16">
        <f t="shared" ref="L93" si="425">K93*0.5%</f>
        <v>0.39600000000000002</v>
      </c>
      <c r="M93" s="16">
        <f t="shared" ref="M93" si="426">ABS(E93-E94)</f>
        <v>0.12000000000000455</v>
      </c>
      <c r="N93" s="17">
        <f t="shared" ref="N93" si="427">L93-M93</f>
        <v>0.27599999999999547</v>
      </c>
      <c r="O93" s="15">
        <f t="shared" ref="O93" si="428">AVERAGE(F93:F94)</f>
        <v>0.67999999999999994</v>
      </c>
      <c r="P93" s="16">
        <f t="shared" ref="P93" si="429">O93*0.1</f>
        <v>6.7999999999999991E-2</v>
      </c>
      <c r="Q93" s="16">
        <f t="shared" ref="Q93" si="430">ABS(F93-F94)</f>
        <v>3.9999999999999925E-2</v>
      </c>
      <c r="R93" s="17">
        <f t="shared" ref="R93" si="431">P93-Q93</f>
        <v>2.8000000000000067E-2</v>
      </c>
    </row>
    <row r="94" spans="1:18" x14ac:dyDescent="0.15">
      <c r="A94" s="14"/>
      <c r="B94" s="7">
        <v>93.21</v>
      </c>
      <c r="C94" s="8">
        <v>-1.22</v>
      </c>
      <c r="D94" s="7">
        <v>8.77</v>
      </c>
      <c r="E94" s="7">
        <v>79.260000000000005</v>
      </c>
      <c r="F94" s="22">
        <v>0.7</v>
      </c>
      <c r="G94" s="15"/>
      <c r="H94" s="15"/>
      <c r="I94" s="15"/>
      <c r="J94" s="15"/>
      <c r="K94" s="15"/>
      <c r="L94" s="16"/>
      <c r="M94" s="16"/>
      <c r="N94" s="17"/>
      <c r="O94" s="15"/>
      <c r="P94" s="16"/>
      <c r="Q94" s="16"/>
      <c r="R94" s="17"/>
    </row>
    <row r="95" spans="1:18" x14ac:dyDescent="0.15">
      <c r="A95" s="14">
        <v>47</v>
      </c>
      <c r="B95" s="7">
        <v>93.19</v>
      </c>
      <c r="C95" s="8">
        <v>-1.19</v>
      </c>
      <c r="D95" s="7">
        <v>8.26</v>
      </c>
      <c r="E95" s="7">
        <v>79.08</v>
      </c>
      <c r="F95" s="22">
        <v>0.4</v>
      </c>
      <c r="G95" s="15">
        <f t="shared" ref="G95:I95" si="432">ABS(B95-B96)</f>
        <v>4.9999999999997158E-2</v>
      </c>
      <c r="H95" s="15">
        <f t="shared" si="432"/>
        <v>4.0000000000000036E-2</v>
      </c>
      <c r="I95" s="15">
        <f t="shared" si="432"/>
        <v>8.0000000000000071E-2</v>
      </c>
      <c r="J95" s="15">
        <f t="shared" ref="J95" si="433">SQRT(G95*G95+H95*H95+I95*I95)</f>
        <v>0.10246950765959467</v>
      </c>
      <c r="K95" s="15">
        <f t="shared" ref="K95" si="434">AVERAGE(E95:E96)</f>
        <v>79.125</v>
      </c>
      <c r="L95" s="16">
        <f t="shared" ref="L95" si="435">K95*0.5%</f>
        <v>0.395625</v>
      </c>
      <c r="M95" s="16">
        <f t="shared" ref="M95" si="436">ABS(E95-E96)</f>
        <v>9.0000000000003411E-2</v>
      </c>
      <c r="N95" s="17">
        <f t="shared" ref="N95" si="437">L95-M95</f>
        <v>0.30562499999999659</v>
      </c>
      <c r="O95" s="15">
        <f t="shared" ref="O95" si="438">AVERAGE(F95:F96)</f>
        <v>0.41000000000000003</v>
      </c>
      <c r="P95" s="16">
        <f t="shared" ref="P95" si="439">O95*0.1</f>
        <v>4.1000000000000009E-2</v>
      </c>
      <c r="Q95" s="16">
        <f t="shared" ref="Q95" si="440">ABS(F95-F96)</f>
        <v>1.9999999999999962E-2</v>
      </c>
      <c r="R95" s="17">
        <f t="shared" si="155"/>
        <v>2.1000000000000046E-2</v>
      </c>
    </row>
    <row r="96" spans="1:18" x14ac:dyDescent="0.15">
      <c r="A96" s="14"/>
      <c r="B96" s="7">
        <v>93.14</v>
      </c>
      <c r="C96" s="8">
        <v>-1.1499999999999999</v>
      </c>
      <c r="D96" s="7">
        <v>8.34</v>
      </c>
      <c r="E96" s="7">
        <v>79.17</v>
      </c>
      <c r="F96" s="22">
        <v>0.42</v>
      </c>
      <c r="G96" s="15"/>
      <c r="H96" s="15"/>
      <c r="I96" s="15"/>
      <c r="J96" s="15"/>
      <c r="K96" s="15"/>
      <c r="L96" s="16"/>
      <c r="M96" s="16"/>
      <c r="N96" s="17"/>
      <c r="O96" s="15"/>
      <c r="P96" s="16"/>
      <c r="Q96" s="16"/>
      <c r="R96" s="17"/>
    </row>
    <row r="97" spans="1:18" x14ac:dyDescent="0.15">
      <c r="A97" s="14">
        <v>48</v>
      </c>
      <c r="B97" s="7">
        <v>93.16</v>
      </c>
      <c r="C97" s="8">
        <v>-1.17</v>
      </c>
      <c r="D97" s="7">
        <v>8.1199999999999992</v>
      </c>
      <c r="E97" s="7">
        <v>79.150000000000006</v>
      </c>
      <c r="F97" s="22">
        <v>0.42</v>
      </c>
      <c r="G97" s="15">
        <f t="shared" ref="G97:I97" si="441">ABS(B97-B98)</f>
        <v>1.0000000000005116E-2</v>
      </c>
      <c r="H97" s="15">
        <f t="shared" si="441"/>
        <v>2.0000000000000018E-2</v>
      </c>
      <c r="I97" s="15">
        <f t="shared" si="441"/>
        <v>5.0000000000000711E-2</v>
      </c>
      <c r="J97" s="15">
        <f t="shared" ref="J97" si="442">SQRT(G97*G97+H97*H97+I97*I97)</f>
        <v>5.4772255750518202E-2</v>
      </c>
      <c r="K97" s="15">
        <f t="shared" ref="K97" si="443">AVERAGE(E97:E98)</f>
        <v>79.19</v>
      </c>
      <c r="L97" s="16">
        <f t="shared" ref="L97" si="444">K97*0.5%</f>
        <v>0.39595000000000002</v>
      </c>
      <c r="M97" s="16">
        <f t="shared" ref="M97" si="445">ABS(E97-E98)</f>
        <v>7.9999999999998295E-2</v>
      </c>
      <c r="N97" s="17">
        <f t="shared" ref="N97" si="446">L97-M97</f>
        <v>0.31595000000000173</v>
      </c>
      <c r="O97" s="15">
        <f t="shared" ref="O97" si="447">AVERAGE(F97:F98)</f>
        <v>0.41499999999999998</v>
      </c>
      <c r="P97" s="16">
        <f t="shared" ref="P97" si="448">O97*0.1</f>
        <v>4.1500000000000002E-2</v>
      </c>
      <c r="Q97" s="16">
        <f t="shared" ref="Q97" si="449">ABS(F97-F98)</f>
        <v>1.0000000000000009E-2</v>
      </c>
      <c r="R97" s="17">
        <f t="shared" si="165"/>
        <v>3.1499999999999993E-2</v>
      </c>
    </row>
    <row r="98" spans="1:18" x14ac:dyDescent="0.15">
      <c r="A98" s="14"/>
      <c r="B98" s="7">
        <v>93.17</v>
      </c>
      <c r="C98" s="8">
        <v>-1.1499999999999999</v>
      </c>
      <c r="D98" s="7">
        <v>8.17</v>
      </c>
      <c r="E98" s="7">
        <v>79.23</v>
      </c>
      <c r="F98" s="22">
        <v>0.41</v>
      </c>
      <c r="G98" s="15"/>
      <c r="H98" s="15"/>
      <c r="I98" s="15"/>
      <c r="J98" s="15"/>
      <c r="K98" s="15"/>
      <c r="L98" s="16"/>
      <c r="M98" s="16"/>
      <c r="N98" s="17"/>
      <c r="O98" s="15"/>
      <c r="P98" s="16"/>
      <c r="Q98" s="16"/>
      <c r="R98" s="17"/>
    </row>
    <row r="99" spans="1:18" x14ac:dyDescent="0.15">
      <c r="A99" s="14">
        <v>49</v>
      </c>
      <c r="B99" s="7">
        <v>90.43</v>
      </c>
      <c r="C99" s="8">
        <v>-0.81</v>
      </c>
      <c r="D99" s="7">
        <v>8.8699999999999992</v>
      </c>
      <c r="E99" s="7">
        <v>73.16</v>
      </c>
      <c r="F99" s="22">
        <v>6.92</v>
      </c>
      <c r="G99" s="15">
        <f t="shared" ref="G99:I99" si="450">ABS(B99-B100)</f>
        <v>4.9999999999997158E-2</v>
      </c>
      <c r="H99" s="15">
        <f t="shared" si="450"/>
        <v>4.0000000000000036E-2</v>
      </c>
      <c r="I99" s="15">
        <f t="shared" si="450"/>
        <v>0.81999999999999851</v>
      </c>
      <c r="J99" s="15">
        <f t="shared" ref="J99" si="451">SQRT(G99*G99+H99*H99+I99*I99)</f>
        <v>0.82249620059912576</v>
      </c>
      <c r="K99" s="15">
        <f t="shared" ref="K99" si="452">AVERAGE(E99:E100)</f>
        <v>73.204999999999998</v>
      </c>
      <c r="L99" s="16">
        <f t="shared" ref="L99" si="453">K99*0.5%</f>
        <v>0.36602499999999999</v>
      </c>
      <c r="M99" s="16">
        <f t="shared" ref="M99" si="454">ABS(E99-E100)</f>
        <v>9.0000000000003411E-2</v>
      </c>
      <c r="N99" s="17">
        <f t="shared" ref="N99" si="455">L99-M99</f>
        <v>0.27602499999999658</v>
      </c>
      <c r="O99" s="15">
        <f t="shared" ref="O99" si="456">AVERAGE(F99:F100)</f>
        <v>6.99</v>
      </c>
      <c r="P99" s="16">
        <f t="shared" ref="P99" si="457">O99*0.1</f>
        <v>0.69900000000000007</v>
      </c>
      <c r="Q99" s="16">
        <f t="shared" ref="Q99" si="458">ABS(F99-F100)</f>
        <v>0.13999999999999968</v>
      </c>
      <c r="R99" s="17">
        <f t="shared" si="175"/>
        <v>0.55900000000000039</v>
      </c>
    </row>
    <row r="100" spans="1:18" x14ac:dyDescent="0.15">
      <c r="A100" s="14"/>
      <c r="B100" s="7">
        <v>90.48</v>
      </c>
      <c r="C100" s="8">
        <v>-0.77</v>
      </c>
      <c r="D100" s="7">
        <v>8.0500000000000007</v>
      </c>
      <c r="E100" s="7">
        <v>73.25</v>
      </c>
      <c r="F100" s="22">
        <v>7.06</v>
      </c>
      <c r="G100" s="15"/>
      <c r="H100" s="15"/>
      <c r="I100" s="15"/>
      <c r="J100" s="15"/>
      <c r="K100" s="15"/>
      <c r="L100" s="16"/>
      <c r="M100" s="16"/>
      <c r="N100" s="17"/>
      <c r="O100" s="15"/>
      <c r="P100" s="16"/>
      <c r="Q100" s="16"/>
      <c r="R100" s="17"/>
    </row>
    <row r="101" spans="1:18" x14ac:dyDescent="0.15">
      <c r="A101" s="14">
        <v>50</v>
      </c>
      <c r="B101" s="7">
        <v>90.41</v>
      </c>
      <c r="C101" s="8">
        <v>-0.8</v>
      </c>
      <c r="D101" s="7">
        <v>8.7899999999999991</v>
      </c>
      <c r="E101" s="7">
        <v>73.010000000000005</v>
      </c>
      <c r="F101" s="22">
        <v>7</v>
      </c>
      <c r="G101" s="15">
        <f t="shared" ref="G101:I101" si="459">ABS(B101-B102)</f>
        <v>0.10999999999999943</v>
      </c>
      <c r="H101" s="15">
        <f t="shared" si="459"/>
        <v>1.0000000000000009E-2</v>
      </c>
      <c r="I101" s="15">
        <f t="shared" si="459"/>
        <v>0.16999999999999993</v>
      </c>
      <c r="J101" s="15">
        <f t="shared" ref="J101" si="460">SQRT(G101*G101+H101*H101+I101*I101)</f>
        <v>0.20273134932713255</v>
      </c>
      <c r="K101" s="15">
        <f t="shared" ref="K101" si="461">AVERAGE(E101:E102)</f>
        <v>73.180000000000007</v>
      </c>
      <c r="L101" s="16">
        <f t="shared" ref="L101" si="462">K101*0.5%</f>
        <v>0.36590000000000006</v>
      </c>
      <c r="M101" s="16">
        <f t="shared" ref="M101" si="463">ABS(E101-E102)</f>
        <v>0.3399999999999892</v>
      </c>
      <c r="N101" s="17">
        <f t="shared" ref="N101" si="464">L101-M101</f>
        <v>2.5900000000010859E-2</v>
      </c>
      <c r="O101" s="15">
        <f t="shared" ref="O101" si="465">AVERAGE(F101:F102)</f>
        <v>7.0299999999999994</v>
      </c>
      <c r="P101" s="16">
        <f t="shared" ref="P101" si="466">O101*0.1</f>
        <v>0.70299999999999996</v>
      </c>
      <c r="Q101" s="16">
        <f t="shared" ref="Q101" si="467">ABS(F101-F102)</f>
        <v>5.9999999999999609E-2</v>
      </c>
      <c r="R101" s="17">
        <f t="shared" si="185"/>
        <v>0.64300000000000035</v>
      </c>
    </row>
    <row r="102" spans="1:18" x14ac:dyDescent="0.15">
      <c r="A102" s="14"/>
      <c r="B102" s="7">
        <v>90.52</v>
      </c>
      <c r="C102" s="8">
        <v>-0.79</v>
      </c>
      <c r="D102" s="7">
        <v>8.6199999999999992</v>
      </c>
      <c r="E102" s="7">
        <v>73.349999999999994</v>
      </c>
      <c r="F102" s="22">
        <v>7.06</v>
      </c>
      <c r="G102" s="15"/>
      <c r="H102" s="15"/>
      <c r="I102" s="15"/>
      <c r="J102" s="15"/>
      <c r="K102" s="15"/>
      <c r="L102" s="16"/>
      <c r="M102" s="16"/>
      <c r="N102" s="17"/>
      <c r="O102" s="15"/>
      <c r="P102" s="16"/>
      <c r="Q102" s="16"/>
      <c r="R102" s="17"/>
    </row>
    <row r="103" spans="1:18" x14ac:dyDescent="0.15">
      <c r="A103" s="14">
        <v>51</v>
      </c>
      <c r="B103" s="7">
        <v>90.68</v>
      </c>
      <c r="C103" s="8">
        <v>-0.79</v>
      </c>
      <c r="D103" s="7">
        <v>7.92</v>
      </c>
      <c r="E103" s="7">
        <v>73.680000000000007</v>
      </c>
      <c r="F103" s="22">
        <v>9.2200000000000006</v>
      </c>
      <c r="G103" s="15">
        <f t="shared" ref="G103:I103" si="468">ABS(B103-B104)</f>
        <v>0</v>
      </c>
      <c r="H103" s="15">
        <f t="shared" si="468"/>
        <v>2.0000000000000018E-2</v>
      </c>
      <c r="I103" s="15">
        <f t="shared" si="468"/>
        <v>0.49000000000000021</v>
      </c>
      <c r="J103" s="15">
        <f t="shared" ref="J103" si="469">SQRT(G103*G103+H103*H103+I103*I103)</f>
        <v>0.49040799340956936</v>
      </c>
      <c r="K103" s="15">
        <f t="shared" ref="K103" si="470">AVERAGE(E103:E104)</f>
        <v>73.694999999999993</v>
      </c>
      <c r="L103" s="16">
        <f t="shared" ref="L103" si="471">K103*0.5%</f>
        <v>0.368475</v>
      </c>
      <c r="M103" s="16">
        <f t="shared" ref="M103" si="472">ABS(E103-E104)</f>
        <v>2.9999999999986926E-2</v>
      </c>
      <c r="N103" s="17">
        <f t="shared" ref="N103" si="473">L103-M103</f>
        <v>0.33847500000001307</v>
      </c>
      <c r="O103" s="15">
        <f t="shared" ref="O103" si="474">AVERAGE(F103:F104)</f>
        <v>9.1950000000000003</v>
      </c>
      <c r="P103" s="16">
        <f t="shared" ref="P103" si="475">O103*0.1</f>
        <v>0.9195000000000001</v>
      </c>
      <c r="Q103" s="16">
        <f t="shared" ref="Q103" si="476">ABS(F103-F104)</f>
        <v>5.0000000000000711E-2</v>
      </c>
      <c r="R103" s="17">
        <f t="shared" si="195"/>
        <v>0.86949999999999938</v>
      </c>
    </row>
    <row r="104" spans="1:18" x14ac:dyDescent="0.15">
      <c r="A104" s="14"/>
      <c r="B104" s="7">
        <v>90.68</v>
      </c>
      <c r="C104" s="8">
        <v>-0.81</v>
      </c>
      <c r="D104" s="7">
        <v>8.41</v>
      </c>
      <c r="E104" s="7">
        <v>73.709999999999994</v>
      </c>
      <c r="F104" s="22">
        <v>9.17</v>
      </c>
      <c r="G104" s="15"/>
      <c r="H104" s="15"/>
      <c r="I104" s="15"/>
      <c r="J104" s="15"/>
      <c r="K104" s="15"/>
      <c r="L104" s="16"/>
      <c r="M104" s="16"/>
      <c r="N104" s="17"/>
      <c r="O104" s="15"/>
      <c r="P104" s="16"/>
      <c r="Q104" s="16"/>
      <c r="R104" s="17"/>
    </row>
    <row r="105" spans="1:18" x14ac:dyDescent="0.15">
      <c r="A105" s="14">
        <v>52</v>
      </c>
      <c r="B105" s="7">
        <v>90.65</v>
      </c>
      <c r="C105" s="8">
        <v>-0.82</v>
      </c>
      <c r="D105" s="7">
        <v>8.2899999999999991</v>
      </c>
      <c r="E105" s="7">
        <v>73.540000000000006</v>
      </c>
      <c r="F105" s="22">
        <v>9.3000000000000007</v>
      </c>
      <c r="G105" s="15">
        <f t="shared" ref="G105:I105" si="477">ABS(B105-B106)</f>
        <v>3.0000000000001137E-2</v>
      </c>
      <c r="H105" s="15">
        <f t="shared" si="477"/>
        <v>3.9999999999999925E-2</v>
      </c>
      <c r="I105" s="15">
        <f t="shared" si="477"/>
        <v>0.17999999999999972</v>
      </c>
      <c r="J105" s="15">
        <f t="shared" ref="J105" si="478">SQRT(G105*G105+H105*H105+I105*I105)</f>
        <v>0.18681541692269396</v>
      </c>
      <c r="K105" s="15">
        <f t="shared" ref="K105" si="479">AVERAGE(E105:E106)</f>
        <v>73.625</v>
      </c>
      <c r="L105" s="16">
        <f t="shared" ref="L105" si="480">K105*0.5%</f>
        <v>0.36812499999999998</v>
      </c>
      <c r="M105" s="16">
        <f t="shared" ref="M105" si="481">ABS(E105-E106)</f>
        <v>0.16999999999998749</v>
      </c>
      <c r="N105" s="17">
        <f t="shared" ref="N105" si="482">L105-M105</f>
        <v>0.19812500000001249</v>
      </c>
      <c r="O105" s="15">
        <f t="shared" ref="O105" si="483">AVERAGE(F105:F106)</f>
        <v>9.3000000000000007</v>
      </c>
      <c r="P105" s="16">
        <f t="shared" ref="P105" si="484">O105*0.1</f>
        <v>0.93000000000000016</v>
      </c>
      <c r="Q105" s="16">
        <f t="shared" ref="Q105" si="485">ABS(F105-F106)</f>
        <v>0</v>
      </c>
      <c r="R105" s="17">
        <f t="shared" si="205"/>
        <v>0.93000000000000016</v>
      </c>
    </row>
    <row r="106" spans="1:18" x14ac:dyDescent="0.15">
      <c r="A106" s="14"/>
      <c r="B106" s="7">
        <v>90.68</v>
      </c>
      <c r="C106" s="8">
        <v>-0.78</v>
      </c>
      <c r="D106" s="7">
        <v>8.11</v>
      </c>
      <c r="E106" s="7">
        <v>73.709999999999994</v>
      </c>
      <c r="F106" s="22">
        <v>9.3000000000000007</v>
      </c>
      <c r="G106" s="15"/>
      <c r="H106" s="15"/>
      <c r="I106" s="15"/>
      <c r="J106" s="15"/>
      <c r="K106" s="15"/>
      <c r="L106" s="16"/>
      <c r="M106" s="16"/>
      <c r="N106" s="17"/>
      <c r="O106" s="15"/>
      <c r="P106" s="16"/>
      <c r="Q106" s="16"/>
      <c r="R106" s="17"/>
    </row>
    <row r="107" spans="1:18" x14ac:dyDescent="0.15">
      <c r="B107" s="9"/>
      <c r="C107" s="10"/>
      <c r="D107" s="9"/>
      <c r="E107" s="9"/>
      <c r="F107" s="18"/>
      <c r="G107" s="9"/>
      <c r="H107" s="9"/>
      <c r="I107" s="9"/>
      <c r="J107" s="9"/>
      <c r="K107" s="9"/>
      <c r="L107" s="18"/>
      <c r="M107" s="18"/>
      <c r="N107" s="19"/>
      <c r="O107" s="9"/>
      <c r="P107" s="18"/>
      <c r="Q107" s="18"/>
      <c r="R107" s="19"/>
    </row>
    <row r="108" spans="1:18" x14ac:dyDescent="0.15">
      <c r="B108" s="9"/>
      <c r="C108" s="10"/>
      <c r="D108" s="9"/>
      <c r="E108" s="9"/>
      <c r="F108" s="18"/>
      <c r="G108" s="9"/>
      <c r="H108" s="9"/>
      <c r="I108" s="9"/>
      <c r="J108" s="9"/>
      <c r="K108" s="9"/>
      <c r="L108" s="18"/>
      <c r="M108" s="18"/>
      <c r="N108" s="19"/>
      <c r="O108" s="9"/>
      <c r="P108" s="18"/>
      <c r="Q108" s="18"/>
      <c r="R108" s="19"/>
    </row>
    <row r="109" spans="1:18" x14ac:dyDescent="0.15">
      <c r="B109" s="9"/>
      <c r="C109" s="10"/>
      <c r="D109" s="9"/>
      <c r="E109" s="9"/>
      <c r="F109" s="18"/>
      <c r="G109" s="9"/>
      <c r="H109" s="9"/>
      <c r="I109" s="9"/>
      <c r="J109" s="9"/>
      <c r="K109" s="9"/>
      <c r="L109" s="18"/>
      <c r="M109" s="18"/>
      <c r="N109" s="19"/>
      <c r="O109" s="9"/>
      <c r="P109" s="18"/>
      <c r="Q109" s="18"/>
      <c r="R109" s="19"/>
    </row>
    <row r="110" spans="1:18" x14ac:dyDescent="0.15">
      <c r="B110" s="9"/>
      <c r="C110" s="10"/>
      <c r="D110" s="9"/>
      <c r="E110" s="9"/>
      <c r="F110" s="18"/>
      <c r="G110" s="9"/>
      <c r="H110" s="9"/>
      <c r="I110" s="9"/>
      <c r="J110" s="9"/>
      <c r="K110" s="9"/>
      <c r="L110" s="18"/>
      <c r="M110" s="18"/>
      <c r="N110" s="19"/>
      <c r="O110" s="9"/>
      <c r="P110" s="18"/>
      <c r="Q110" s="18"/>
      <c r="R110" s="19"/>
    </row>
    <row r="111" spans="1:18" x14ac:dyDescent="0.15">
      <c r="B111" s="9"/>
      <c r="C111" s="10"/>
      <c r="D111" s="9"/>
      <c r="E111" s="9"/>
      <c r="F111" s="18"/>
      <c r="G111" s="9"/>
      <c r="H111" s="9"/>
      <c r="I111" s="9"/>
      <c r="J111" s="9"/>
      <c r="K111" s="9"/>
      <c r="L111" s="18"/>
      <c r="M111" s="18"/>
      <c r="N111" s="19"/>
      <c r="O111" s="9"/>
      <c r="P111" s="18"/>
      <c r="Q111" s="18"/>
      <c r="R111" s="19"/>
    </row>
    <row r="112" spans="1:18" x14ac:dyDescent="0.15">
      <c r="B112" s="9"/>
      <c r="C112" s="10"/>
      <c r="D112" s="9"/>
      <c r="E112" s="9"/>
      <c r="F112" s="18"/>
      <c r="G112" s="9"/>
      <c r="H112" s="9"/>
      <c r="I112" s="9"/>
      <c r="J112" s="9"/>
      <c r="K112" s="9"/>
      <c r="L112" s="18"/>
      <c r="M112" s="18"/>
      <c r="N112" s="19"/>
      <c r="O112" s="9"/>
      <c r="P112" s="18"/>
      <c r="Q112" s="18"/>
      <c r="R112" s="19"/>
    </row>
    <row r="113" spans="2:18" x14ac:dyDescent="0.15">
      <c r="B113" s="9"/>
      <c r="C113" s="10"/>
      <c r="D113" s="9"/>
      <c r="E113" s="9"/>
      <c r="F113" s="18"/>
      <c r="G113" s="9"/>
      <c r="H113" s="9"/>
      <c r="I113" s="9"/>
      <c r="J113" s="9"/>
      <c r="K113" s="9"/>
      <c r="L113" s="18"/>
      <c r="M113" s="18"/>
      <c r="N113" s="19"/>
      <c r="O113" s="9"/>
      <c r="P113" s="18"/>
      <c r="Q113" s="18"/>
      <c r="R113" s="19"/>
    </row>
    <row r="114" spans="2:18" x14ac:dyDescent="0.15">
      <c r="B114" s="9"/>
      <c r="C114" s="10"/>
      <c r="D114" s="9"/>
      <c r="E114" s="9"/>
      <c r="F114" s="18"/>
      <c r="G114" s="9"/>
      <c r="H114" s="9"/>
      <c r="I114" s="9"/>
      <c r="J114" s="9"/>
      <c r="K114" s="9"/>
      <c r="L114" s="18"/>
      <c r="M114" s="18"/>
      <c r="N114" s="19"/>
      <c r="O114" s="9"/>
      <c r="P114" s="18"/>
      <c r="Q114" s="18"/>
      <c r="R114" s="19"/>
    </row>
    <row r="115" spans="2:18" x14ac:dyDescent="0.15">
      <c r="B115" s="9"/>
      <c r="C115" s="10"/>
      <c r="D115" s="9"/>
      <c r="E115" s="9"/>
      <c r="F115" s="18"/>
      <c r="G115" s="9"/>
      <c r="H115" s="9"/>
      <c r="I115" s="9"/>
      <c r="J115" s="9"/>
      <c r="K115" s="9"/>
      <c r="L115" s="18"/>
      <c r="M115" s="18"/>
      <c r="N115" s="19"/>
      <c r="O115" s="9"/>
      <c r="P115" s="18"/>
      <c r="Q115" s="18"/>
      <c r="R115" s="19"/>
    </row>
    <row r="116" spans="2:18" x14ac:dyDescent="0.15">
      <c r="B116" s="9"/>
      <c r="C116" s="10"/>
      <c r="D116" s="9"/>
      <c r="E116" s="9"/>
      <c r="F116" s="18"/>
      <c r="G116" s="9"/>
      <c r="H116" s="9"/>
      <c r="I116" s="9"/>
      <c r="J116" s="9"/>
      <c r="K116" s="9"/>
      <c r="L116" s="18"/>
      <c r="M116" s="18"/>
      <c r="N116" s="19"/>
      <c r="O116" s="9"/>
      <c r="P116" s="18"/>
      <c r="Q116" s="18"/>
      <c r="R116" s="19"/>
    </row>
    <row r="117" spans="2:18" x14ac:dyDescent="0.15">
      <c r="B117" s="9"/>
      <c r="C117" s="10"/>
      <c r="D117" s="9"/>
      <c r="E117" s="9"/>
      <c r="F117" s="18"/>
      <c r="G117" s="9"/>
      <c r="H117" s="9"/>
      <c r="I117" s="9"/>
      <c r="J117" s="9"/>
      <c r="K117" s="9"/>
      <c r="L117" s="18"/>
      <c r="M117" s="18"/>
      <c r="N117" s="19"/>
      <c r="O117" s="9"/>
      <c r="P117" s="18"/>
      <c r="Q117" s="18"/>
      <c r="R117" s="19"/>
    </row>
    <row r="118" spans="2:18" x14ac:dyDescent="0.15">
      <c r="B118" s="9"/>
      <c r="C118" s="10"/>
      <c r="D118" s="9"/>
      <c r="E118" s="9"/>
      <c r="F118" s="18"/>
      <c r="G118" s="9"/>
      <c r="H118" s="9"/>
      <c r="I118" s="9"/>
      <c r="J118" s="9"/>
      <c r="K118" s="9"/>
      <c r="L118" s="18"/>
      <c r="M118" s="18"/>
      <c r="N118" s="19"/>
      <c r="O118" s="9"/>
      <c r="P118" s="18"/>
      <c r="Q118" s="18"/>
      <c r="R118" s="19"/>
    </row>
    <row r="119" spans="2:18" x14ac:dyDescent="0.15">
      <c r="B119" s="9"/>
      <c r="C119" s="10"/>
      <c r="D119" s="9"/>
      <c r="E119" s="9"/>
      <c r="F119" s="18"/>
      <c r="G119" s="9"/>
      <c r="H119" s="9"/>
      <c r="I119" s="9"/>
      <c r="J119" s="9"/>
      <c r="K119" s="9"/>
      <c r="L119" s="18"/>
      <c r="M119" s="18"/>
      <c r="N119" s="19"/>
      <c r="O119" s="9"/>
      <c r="P119" s="18"/>
      <c r="Q119" s="18"/>
      <c r="R119" s="19"/>
    </row>
  </sheetData>
  <mergeCells count="677">
    <mergeCell ref="M105:M106"/>
    <mergeCell ref="N105:N106"/>
    <mergeCell ref="O105:O106"/>
    <mergeCell ref="P105:P106"/>
    <mergeCell ref="Q105:Q106"/>
    <mergeCell ref="O103:O104"/>
    <mergeCell ref="P103:P104"/>
    <mergeCell ref="Q103:Q104"/>
    <mergeCell ref="R103:R104"/>
    <mergeCell ref="A105:A106"/>
    <mergeCell ref="G105:G106"/>
    <mergeCell ref="H105:H106"/>
    <mergeCell ref="I105:I106"/>
    <mergeCell ref="J105:J106"/>
    <mergeCell ref="K105:K106"/>
    <mergeCell ref="R101:R102"/>
    <mergeCell ref="A103:A104"/>
    <mergeCell ref="G103:G104"/>
    <mergeCell ref="H103:H104"/>
    <mergeCell ref="I103:I104"/>
    <mergeCell ref="J103:J104"/>
    <mergeCell ref="K103:K104"/>
    <mergeCell ref="L103:L104"/>
    <mergeCell ref="M103:M104"/>
    <mergeCell ref="N103:N104"/>
    <mergeCell ref="L101:L102"/>
    <mergeCell ref="M101:M102"/>
    <mergeCell ref="N101:N102"/>
    <mergeCell ref="O101:O102"/>
    <mergeCell ref="P101:P102"/>
    <mergeCell ref="Q101:Q102"/>
    <mergeCell ref="R105:R106"/>
    <mergeCell ref="L105:L106"/>
    <mergeCell ref="O99:O100"/>
    <mergeCell ref="P99:P100"/>
    <mergeCell ref="Q99:Q100"/>
    <mergeCell ref="R99:R100"/>
    <mergeCell ref="A101:A102"/>
    <mergeCell ref="G101:G102"/>
    <mergeCell ref="H101:H102"/>
    <mergeCell ref="I101:I102"/>
    <mergeCell ref="J101:J102"/>
    <mergeCell ref="K101:K102"/>
    <mergeCell ref="A99:A100"/>
    <mergeCell ref="G99:G100"/>
    <mergeCell ref="H99:H100"/>
    <mergeCell ref="I99:I100"/>
    <mergeCell ref="J99:J100"/>
    <mergeCell ref="K99:K100"/>
    <mergeCell ref="L99:L100"/>
    <mergeCell ref="M99:M100"/>
    <mergeCell ref="N99:N100"/>
    <mergeCell ref="O95:O96"/>
    <mergeCell ref="P95:P96"/>
    <mergeCell ref="Q95:Q96"/>
    <mergeCell ref="R95:R96"/>
    <mergeCell ref="A97:A98"/>
    <mergeCell ref="G97:G98"/>
    <mergeCell ref="H97:H98"/>
    <mergeCell ref="I97:I98"/>
    <mergeCell ref="J97:J98"/>
    <mergeCell ref="K97:K98"/>
    <mergeCell ref="R97:R98"/>
    <mergeCell ref="L97:L98"/>
    <mergeCell ref="M97:M98"/>
    <mergeCell ref="N97:N98"/>
    <mergeCell ref="O97:O98"/>
    <mergeCell ref="P97:P98"/>
    <mergeCell ref="Q97:Q98"/>
    <mergeCell ref="A95:A96"/>
    <mergeCell ref="G95:G96"/>
    <mergeCell ref="H95:H96"/>
    <mergeCell ref="I95:I96"/>
    <mergeCell ref="J95:J96"/>
    <mergeCell ref="K95:K96"/>
    <mergeCell ref="L95:L96"/>
    <mergeCell ref="M95:M96"/>
    <mergeCell ref="N95:N96"/>
    <mergeCell ref="O91:O92"/>
    <mergeCell ref="P91:P92"/>
    <mergeCell ref="Q91:Q92"/>
    <mergeCell ref="R91:R92"/>
    <mergeCell ref="A93:A94"/>
    <mergeCell ref="G93:G94"/>
    <mergeCell ref="H93:H94"/>
    <mergeCell ref="I93:I94"/>
    <mergeCell ref="J93:J94"/>
    <mergeCell ref="K93:K94"/>
    <mergeCell ref="R93:R94"/>
    <mergeCell ref="L93:L94"/>
    <mergeCell ref="M93:M94"/>
    <mergeCell ref="N93:N94"/>
    <mergeCell ref="O93:O94"/>
    <mergeCell ref="P93:P94"/>
    <mergeCell ref="Q93:Q94"/>
    <mergeCell ref="A91:A92"/>
    <mergeCell ref="G91:G92"/>
    <mergeCell ref="H91:H92"/>
    <mergeCell ref="I91:I92"/>
    <mergeCell ref="J91:J92"/>
    <mergeCell ref="K91:K92"/>
    <mergeCell ref="L91:L92"/>
    <mergeCell ref="M91:M92"/>
    <mergeCell ref="N91:N92"/>
    <mergeCell ref="O87:O88"/>
    <mergeCell ref="P87:P88"/>
    <mergeCell ref="Q87:Q88"/>
    <mergeCell ref="R87:R88"/>
    <mergeCell ref="A89:A90"/>
    <mergeCell ref="G89:G90"/>
    <mergeCell ref="H89:H90"/>
    <mergeCell ref="I89:I90"/>
    <mergeCell ref="J89:J90"/>
    <mergeCell ref="K89:K90"/>
    <mergeCell ref="R89:R90"/>
    <mergeCell ref="L89:L90"/>
    <mergeCell ref="M89:M90"/>
    <mergeCell ref="N89:N90"/>
    <mergeCell ref="O89:O90"/>
    <mergeCell ref="P89:P90"/>
    <mergeCell ref="Q89:Q90"/>
    <mergeCell ref="A87:A88"/>
    <mergeCell ref="G87:G88"/>
    <mergeCell ref="H87:H88"/>
    <mergeCell ref="I87:I88"/>
    <mergeCell ref="J87:J88"/>
    <mergeCell ref="K87:K88"/>
    <mergeCell ref="L87:L88"/>
    <mergeCell ref="M87:M88"/>
    <mergeCell ref="N87:N88"/>
    <mergeCell ref="O83:O84"/>
    <mergeCell ref="P83:P84"/>
    <mergeCell ref="Q83:Q84"/>
    <mergeCell ref="R83:R84"/>
    <mergeCell ref="A85:A86"/>
    <mergeCell ref="G85:G86"/>
    <mergeCell ref="H85:H86"/>
    <mergeCell ref="I85:I86"/>
    <mergeCell ref="J85:J86"/>
    <mergeCell ref="K85:K86"/>
    <mergeCell ref="R85:R86"/>
    <mergeCell ref="L85:L86"/>
    <mergeCell ref="M85:M86"/>
    <mergeCell ref="N85:N86"/>
    <mergeCell ref="O85:O86"/>
    <mergeCell ref="P85:P86"/>
    <mergeCell ref="Q85:Q86"/>
    <mergeCell ref="A83:A84"/>
    <mergeCell ref="G83:G84"/>
    <mergeCell ref="H83:H84"/>
    <mergeCell ref="I83:I84"/>
    <mergeCell ref="J83:J84"/>
    <mergeCell ref="K83:K84"/>
    <mergeCell ref="L83:L84"/>
    <mergeCell ref="M83:M84"/>
    <mergeCell ref="N83:N84"/>
    <mergeCell ref="O79:O80"/>
    <mergeCell ref="P79:P80"/>
    <mergeCell ref="Q79:Q80"/>
    <mergeCell ref="R79:R80"/>
    <mergeCell ref="A81:A82"/>
    <mergeCell ref="G81:G82"/>
    <mergeCell ref="H81:H82"/>
    <mergeCell ref="I81:I82"/>
    <mergeCell ref="J81:J82"/>
    <mergeCell ref="K81:K82"/>
    <mergeCell ref="R81:R82"/>
    <mergeCell ref="L81:L82"/>
    <mergeCell ref="M81:M82"/>
    <mergeCell ref="N81:N82"/>
    <mergeCell ref="O81:O82"/>
    <mergeCell ref="P81:P82"/>
    <mergeCell ref="Q81:Q82"/>
    <mergeCell ref="A79:A80"/>
    <mergeCell ref="G79:G80"/>
    <mergeCell ref="H79:H80"/>
    <mergeCell ref="I79:I80"/>
    <mergeCell ref="J79:J80"/>
    <mergeCell ref="K79:K80"/>
    <mergeCell ref="L79:L80"/>
    <mergeCell ref="M79:M80"/>
    <mergeCell ref="N79:N80"/>
    <mergeCell ref="O75:O76"/>
    <mergeCell ref="P75:P76"/>
    <mergeCell ref="Q75:Q76"/>
    <mergeCell ref="R75:R76"/>
    <mergeCell ref="A77:A78"/>
    <mergeCell ref="G77:G78"/>
    <mergeCell ref="H77:H78"/>
    <mergeCell ref="I77:I78"/>
    <mergeCell ref="J77:J78"/>
    <mergeCell ref="K77:K78"/>
    <mergeCell ref="R77:R78"/>
    <mergeCell ref="L77:L78"/>
    <mergeCell ref="M77:M78"/>
    <mergeCell ref="N77:N78"/>
    <mergeCell ref="O77:O78"/>
    <mergeCell ref="P77:P78"/>
    <mergeCell ref="Q77:Q78"/>
    <mergeCell ref="A75:A76"/>
    <mergeCell ref="G75:G76"/>
    <mergeCell ref="H75:H76"/>
    <mergeCell ref="I75:I76"/>
    <mergeCell ref="J75:J76"/>
    <mergeCell ref="K75:K76"/>
    <mergeCell ref="L75:L76"/>
    <mergeCell ref="M75:M76"/>
    <mergeCell ref="N75:N76"/>
    <mergeCell ref="O71:O72"/>
    <mergeCell ref="P71:P72"/>
    <mergeCell ref="Q71:Q72"/>
    <mergeCell ref="R71:R72"/>
    <mergeCell ref="A73:A74"/>
    <mergeCell ref="G73:G74"/>
    <mergeCell ref="H73:H74"/>
    <mergeCell ref="I73:I74"/>
    <mergeCell ref="J73:J74"/>
    <mergeCell ref="K73:K74"/>
    <mergeCell ref="R73:R74"/>
    <mergeCell ref="L73:L74"/>
    <mergeCell ref="M73:M74"/>
    <mergeCell ref="N73:N74"/>
    <mergeCell ref="O73:O74"/>
    <mergeCell ref="P73:P74"/>
    <mergeCell ref="Q73:Q74"/>
    <mergeCell ref="A71:A72"/>
    <mergeCell ref="G71:G72"/>
    <mergeCell ref="H71:H72"/>
    <mergeCell ref="I71:I72"/>
    <mergeCell ref="J71:J72"/>
    <mergeCell ref="K71:K72"/>
    <mergeCell ref="L71:L72"/>
    <mergeCell ref="M71:M72"/>
    <mergeCell ref="N71:N72"/>
    <mergeCell ref="O67:O68"/>
    <mergeCell ref="P67:P68"/>
    <mergeCell ref="Q67:Q68"/>
    <mergeCell ref="R67:R68"/>
    <mergeCell ref="A69:A70"/>
    <mergeCell ref="G69:G70"/>
    <mergeCell ref="H69:H70"/>
    <mergeCell ref="I69:I70"/>
    <mergeCell ref="J69:J70"/>
    <mergeCell ref="K69:K70"/>
    <mergeCell ref="R69:R70"/>
    <mergeCell ref="L69:L70"/>
    <mergeCell ref="M69:M70"/>
    <mergeCell ref="N69:N70"/>
    <mergeCell ref="O69:O70"/>
    <mergeCell ref="P69:P70"/>
    <mergeCell ref="Q69:Q70"/>
    <mergeCell ref="A67:A68"/>
    <mergeCell ref="G67:G68"/>
    <mergeCell ref="H67:H68"/>
    <mergeCell ref="I67:I68"/>
    <mergeCell ref="J67:J68"/>
    <mergeCell ref="K67:K68"/>
    <mergeCell ref="L67:L68"/>
    <mergeCell ref="M67:M68"/>
    <mergeCell ref="N67:N68"/>
    <mergeCell ref="O63:O64"/>
    <mergeCell ref="P63:P64"/>
    <mergeCell ref="Q63:Q64"/>
    <mergeCell ref="R63:R64"/>
    <mergeCell ref="A65:A66"/>
    <mergeCell ref="G65:G66"/>
    <mergeCell ref="H65:H66"/>
    <mergeCell ref="I65:I66"/>
    <mergeCell ref="J65:J66"/>
    <mergeCell ref="K65:K66"/>
    <mergeCell ref="R65:R66"/>
    <mergeCell ref="L65:L66"/>
    <mergeCell ref="M65:M66"/>
    <mergeCell ref="N65:N66"/>
    <mergeCell ref="O65:O66"/>
    <mergeCell ref="P65:P66"/>
    <mergeCell ref="Q65:Q66"/>
    <mergeCell ref="A63:A64"/>
    <mergeCell ref="G63:G64"/>
    <mergeCell ref="H63:H64"/>
    <mergeCell ref="I63:I64"/>
    <mergeCell ref="J63:J64"/>
    <mergeCell ref="K63:K64"/>
    <mergeCell ref="L63:L64"/>
    <mergeCell ref="M63:M64"/>
    <mergeCell ref="N63:N64"/>
    <mergeCell ref="O59:O60"/>
    <mergeCell ref="P59:P60"/>
    <mergeCell ref="Q59:Q60"/>
    <mergeCell ref="R59:R60"/>
    <mergeCell ref="A61:A62"/>
    <mergeCell ref="G61:G62"/>
    <mergeCell ref="H61:H62"/>
    <mergeCell ref="I61:I62"/>
    <mergeCell ref="J61:J62"/>
    <mergeCell ref="K61:K62"/>
    <mergeCell ref="R61:R62"/>
    <mergeCell ref="L61:L62"/>
    <mergeCell ref="M61:M62"/>
    <mergeCell ref="N61:N62"/>
    <mergeCell ref="O61:O62"/>
    <mergeCell ref="P61:P62"/>
    <mergeCell ref="Q61:Q62"/>
    <mergeCell ref="A59:A60"/>
    <mergeCell ref="G59:G60"/>
    <mergeCell ref="H59:H60"/>
    <mergeCell ref="I59:I60"/>
    <mergeCell ref="J59:J60"/>
    <mergeCell ref="K59:K60"/>
    <mergeCell ref="L59:L60"/>
    <mergeCell ref="M59:M60"/>
    <mergeCell ref="N59:N60"/>
    <mergeCell ref="O55:O56"/>
    <mergeCell ref="P55:P56"/>
    <mergeCell ref="Q55:Q56"/>
    <mergeCell ref="R55:R56"/>
    <mergeCell ref="A57:A58"/>
    <mergeCell ref="G57:G58"/>
    <mergeCell ref="H57:H58"/>
    <mergeCell ref="I57:I58"/>
    <mergeCell ref="J57:J58"/>
    <mergeCell ref="K57:K58"/>
    <mergeCell ref="R57:R58"/>
    <mergeCell ref="L57:L58"/>
    <mergeCell ref="M57:M58"/>
    <mergeCell ref="N57:N58"/>
    <mergeCell ref="O57:O58"/>
    <mergeCell ref="P57:P58"/>
    <mergeCell ref="Q57:Q58"/>
    <mergeCell ref="A55:A56"/>
    <mergeCell ref="G55:G56"/>
    <mergeCell ref="H55:H56"/>
    <mergeCell ref="I55:I56"/>
    <mergeCell ref="J55:J56"/>
    <mergeCell ref="K55:K56"/>
    <mergeCell ref="L55:L56"/>
    <mergeCell ref="M55:M56"/>
    <mergeCell ref="N55:N56"/>
    <mergeCell ref="O51:O52"/>
    <mergeCell ref="P51:P52"/>
    <mergeCell ref="Q51:Q52"/>
    <mergeCell ref="R51:R52"/>
    <mergeCell ref="A53:A54"/>
    <mergeCell ref="G53:G54"/>
    <mergeCell ref="H53:H54"/>
    <mergeCell ref="I53:I54"/>
    <mergeCell ref="J53:J54"/>
    <mergeCell ref="K53:K54"/>
    <mergeCell ref="R53:R54"/>
    <mergeCell ref="L53:L54"/>
    <mergeCell ref="M53:M54"/>
    <mergeCell ref="N53:N54"/>
    <mergeCell ref="O53:O54"/>
    <mergeCell ref="P53:P54"/>
    <mergeCell ref="Q53:Q54"/>
    <mergeCell ref="A51:A52"/>
    <mergeCell ref="G51:G52"/>
    <mergeCell ref="H51:H52"/>
    <mergeCell ref="I51:I52"/>
    <mergeCell ref="J51:J52"/>
    <mergeCell ref="K51:K52"/>
    <mergeCell ref="L51:L52"/>
    <mergeCell ref="M51:M52"/>
    <mergeCell ref="N51:N52"/>
    <mergeCell ref="O47:O48"/>
    <mergeCell ref="P47:P48"/>
    <mergeCell ref="Q47:Q48"/>
    <mergeCell ref="R47:R48"/>
    <mergeCell ref="A49:A50"/>
    <mergeCell ref="G49:G50"/>
    <mergeCell ref="H49:H50"/>
    <mergeCell ref="I49:I50"/>
    <mergeCell ref="J49:J50"/>
    <mergeCell ref="K49:K50"/>
    <mergeCell ref="R49:R50"/>
    <mergeCell ref="L49:L50"/>
    <mergeCell ref="M49:M50"/>
    <mergeCell ref="N49:N50"/>
    <mergeCell ref="O49:O50"/>
    <mergeCell ref="P49:P50"/>
    <mergeCell ref="Q49:Q50"/>
    <mergeCell ref="A47:A48"/>
    <mergeCell ref="G47:G48"/>
    <mergeCell ref="H47:H48"/>
    <mergeCell ref="I47:I48"/>
    <mergeCell ref="J47:J48"/>
    <mergeCell ref="K47:K48"/>
    <mergeCell ref="L47:L48"/>
    <mergeCell ref="M47:M48"/>
    <mergeCell ref="N47:N48"/>
    <mergeCell ref="O43:O44"/>
    <mergeCell ref="P43:P44"/>
    <mergeCell ref="Q43:Q44"/>
    <mergeCell ref="R43:R44"/>
    <mergeCell ref="A45:A46"/>
    <mergeCell ref="G45:G46"/>
    <mergeCell ref="H45:H46"/>
    <mergeCell ref="I45:I46"/>
    <mergeCell ref="J45:J46"/>
    <mergeCell ref="K45:K46"/>
    <mergeCell ref="R45:R46"/>
    <mergeCell ref="L45:L46"/>
    <mergeCell ref="M45:M46"/>
    <mergeCell ref="N45:N46"/>
    <mergeCell ref="O45:O46"/>
    <mergeCell ref="P45:P46"/>
    <mergeCell ref="Q45:Q46"/>
    <mergeCell ref="A43:A44"/>
    <mergeCell ref="G43:G44"/>
    <mergeCell ref="H43:H44"/>
    <mergeCell ref="I43:I44"/>
    <mergeCell ref="J43:J44"/>
    <mergeCell ref="K43:K44"/>
    <mergeCell ref="L43:L44"/>
    <mergeCell ref="M43:M44"/>
    <mergeCell ref="N43:N44"/>
    <mergeCell ref="O39:O40"/>
    <mergeCell ref="P39:P40"/>
    <mergeCell ref="Q39:Q40"/>
    <mergeCell ref="R39:R40"/>
    <mergeCell ref="A41:A42"/>
    <mergeCell ref="G41:G42"/>
    <mergeCell ref="H41:H42"/>
    <mergeCell ref="I41:I42"/>
    <mergeCell ref="J41:J42"/>
    <mergeCell ref="K41:K42"/>
    <mergeCell ref="R41:R42"/>
    <mergeCell ref="L41:L42"/>
    <mergeCell ref="M41:M42"/>
    <mergeCell ref="N41:N42"/>
    <mergeCell ref="O41:O42"/>
    <mergeCell ref="P41:P42"/>
    <mergeCell ref="Q41:Q42"/>
    <mergeCell ref="A39:A40"/>
    <mergeCell ref="G39:G40"/>
    <mergeCell ref="H39:H40"/>
    <mergeCell ref="I39:I40"/>
    <mergeCell ref="J39:J40"/>
    <mergeCell ref="K39:K40"/>
    <mergeCell ref="L39:L40"/>
    <mergeCell ref="M39:M40"/>
    <mergeCell ref="N39:N40"/>
    <mergeCell ref="O35:O36"/>
    <mergeCell ref="P35:P36"/>
    <mergeCell ref="Q35:Q36"/>
    <mergeCell ref="R35:R36"/>
    <mergeCell ref="A37:A38"/>
    <mergeCell ref="G37:G38"/>
    <mergeCell ref="H37:H38"/>
    <mergeCell ref="I37:I38"/>
    <mergeCell ref="J37:J38"/>
    <mergeCell ref="K37:K38"/>
    <mergeCell ref="R37:R38"/>
    <mergeCell ref="L37:L38"/>
    <mergeCell ref="M37:M38"/>
    <mergeCell ref="N37:N38"/>
    <mergeCell ref="O37:O38"/>
    <mergeCell ref="P37:P38"/>
    <mergeCell ref="Q37:Q38"/>
    <mergeCell ref="A35:A36"/>
    <mergeCell ref="G35:G36"/>
    <mergeCell ref="H35:H36"/>
    <mergeCell ref="I35:I36"/>
    <mergeCell ref="J35:J36"/>
    <mergeCell ref="K35:K36"/>
    <mergeCell ref="L35:L36"/>
    <mergeCell ref="M35:M36"/>
    <mergeCell ref="N35:N36"/>
    <mergeCell ref="O31:O32"/>
    <mergeCell ref="P31:P32"/>
    <mergeCell ref="Q31:Q32"/>
    <mergeCell ref="R31:R32"/>
    <mergeCell ref="A33:A34"/>
    <mergeCell ref="G33:G34"/>
    <mergeCell ref="H33:H34"/>
    <mergeCell ref="I33:I34"/>
    <mergeCell ref="J33:J34"/>
    <mergeCell ref="K33:K34"/>
    <mergeCell ref="R33:R34"/>
    <mergeCell ref="L33:L34"/>
    <mergeCell ref="M33:M34"/>
    <mergeCell ref="N33:N34"/>
    <mergeCell ref="O33:O34"/>
    <mergeCell ref="P33:P34"/>
    <mergeCell ref="Q33:Q34"/>
    <mergeCell ref="A31:A32"/>
    <mergeCell ref="G31:G32"/>
    <mergeCell ref="H31:H32"/>
    <mergeCell ref="I31:I32"/>
    <mergeCell ref="J31:J32"/>
    <mergeCell ref="K31:K32"/>
    <mergeCell ref="L31:L32"/>
    <mergeCell ref="M31:M32"/>
    <mergeCell ref="N31:N32"/>
    <mergeCell ref="O27:O28"/>
    <mergeCell ref="P27:P28"/>
    <mergeCell ref="Q27:Q28"/>
    <mergeCell ref="R27:R28"/>
    <mergeCell ref="A29:A30"/>
    <mergeCell ref="G29:G30"/>
    <mergeCell ref="H29:H30"/>
    <mergeCell ref="I29:I30"/>
    <mergeCell ref="J29:J30"/>
    <mergeCell ref="K29:K30"/>
    <mergeCell ref="R29:R30"/>
    <mergeCell ref="L29:L30"/>
    <mergeCell ref="M29:M30"/>
    <mergeCell ref="N29:N30"/>
    <mergeCell ref="O29:O30"/>
    <mergeCell ref="P29:P30"/>
    <mergeCell ref="Q29:Q30"/>
    <mergeCell ref="A27:A28"/>
    <mergeCell ref="G27:G28"/>
    <mergeCell ref="H27:H28"/>
    <mergeCell ref="I27:I28"/>
    <mergeCell ref="J27:J28"/>
    <mergeCell ref="K27:K28"/>
    <mergeCell ref="L27:L28"/>
    <mergeCell ref="M27:M28"/>
    <mergeCell ref="N27:N28"/>
    <mergeCell ref="O23:O24"/>
    <mergeCell ref="P23:P24"/>
    <mergeCell ref="Q23:Q24"/>
    <mergeCell ref="R23:R24"/>
    <mergeCell ref="A25:A26"/>
    <mergeCell ref="G25:G26"/>
    <mergeCell ref="H25:H26"/>
    <mergeCell ref="I25:I26"/>
    <mergeCell ref="J25:J26"/>
    <mergeCell ref="K25:K26"/>
    <mergeCell ref="R25:R26"/>
    <mergeCell ref="L25:L26"/>
    <mergeCell ref="M25:M26"/>
    <mergeCell ref="N25:N26"/>
    <mergeCell ref="O25:O26"/>
    <mergeCell ref="P25:P26"/>
    <mergeCell ref="Q25:Q26"/>
    <mergeCell ref="A23:A24"/>
    <mergeCell ref="G23:G24"/>
    <mergeCell ref="H23:H24"/>
    <mergeCell ref="I23:I24"/>
    <mergeCell ref="J23:J24"/>
    <mergeCell ref="K23:K24"/>
    <mergeCell ref="L23:L24"/>
    <mergeCell ref="M23:M24"/>
    <mergeCell ref="N23:N24"/>
    <mergeCell ref="O19:O20"/>
    <mergeCell ref="P19:P20"/>
    <mergeCell ref="Q19:Q20"/>
    <mergeCell ref="R19:R20"/>
    <mergeCell ref="A21:A22"/>
    <mergeCell ref="G21:G22"/>
    <mergeCell ref="H21:H22"/>
    <mergeCell ref="I21:I22"/>
    <mergeCell ref="J21:J22"/>
    <mergeCell ref="K21:K22"/>
    <mergeCell ref="R21:R22"/>
    <mergeCell ref="L21:L22"/>
    <mergeCell ref="M21:M22"/>
    <mergeCell ref="N21:N22"/>
    <mergeCell ref="O21:O22"/>
    <mergeCell ref="P21:P22"/>
    <mergeCell ref="Q21:Q22"/>
    <mergeCell ref="A19:A20"/>
    <mergeCell ref="G19:G20"/>
    <mergeCell ref="H19:H20"/>
    <mergeCell ref="I19:I20"/>
    <mergeCell ref="J19:J20"/>
    <mergeCell ref="K19:K20"/>
    <mergeCell ref="L19:L20"/>
    <mergeCell ref="M19:M20"/>
    <mergeCell ref="N19:N20"/>
    <mergeCell ref="O15:O16"/>
    <mergeCell ref="P15:P16"/>
    <mergeCell ref="Q15:Q16"/>
    <mergeCell ref="R15:R16"/>
    <mergeCell ref="A17:A18"/>
    <mergeCell ref="G17:G18"/>
    <mergeCell ref="H17:H18"/>
    <mergeCell ref="I17:I18"/>
    <mergeCell ref="J17:J18"/>
    <mergeCell ref="K17:K18"/>
    <mergeCell ref="R17:R18"/>
    <mergeCell ref="L17:L18"/>
    <mergeCell ref="M17:M18"/>
    <mergeCell ref="N17:N18"/>
    <mergeCell ref="O17:O18"/>
    <mergeCell ref="P17:P18"/>
    <mergeCell ref="Q17:Q18"/>
    <mergeCell ref="A15:A16"/>
    <mergeCell ref="G15:G16"/>
    <mergeCell ref="H15:H16"/>
    <mergeCell ref="I15:I16"/>
    <mergeCell ref="J15:J16"/>
    <mergeCell ref="K15:K16"/>
    <mergeCell ref="L15:L16"/>
    <mergeCell ref="M15:M16"/>
    <mergeCell ref="N15:N16"/>
    <mergeCell ref="O11:O12"/>
    <mergeCell ref="P11:P12"/>
    <mergeCell ref="Q11:Q12"/>
    <mergeCell ref="R11:R12"/>
    <mergeCell ref="A13:A14"/>
    <mergeCell ref="G13:G14"/>
    <mergeCell ref="H13:H14"/>
    <mergeCell ref="I13:I14"/>
    <mergeCell ref="J13:J14"/>
    <mergeCell ref="K13:K14"/>
    <mergeCell ref="R13:R14"/>
    <mergeCell ref="L13:L14"/>
    <mergeCell ref="M13:M14"/>
    <mergeCell ref="N13:N14"/>
    <mergeCell ref="O13:O14"/>
    <mergeCell ref="P13:P14"/>
    <mergeCell ref="Q13:Q14"/>
    <mergeCell ref="A11:A12"/>
    <mergeCell ref="G11:G12"/>
    <mergeCell ref="H11:H12"/>
    <mergeCell ref="I11:I12"/>
    <mergeCell ref="J11:J12"/>
    <mergeCell ref="K11:K12"/>
    <mergeCell ref="L11:L12"/>
    <mergeCell ref="M11:M12"/>
    <mergeCell ref="N11:N12"/>
    <mergeCell ref="Q7:Q8"/>
    <mergeCell ref="R7:R8"/>
    <mergeCell ref="A9:A10"/>
    <mergeCell ref="G9:G10"/>
    <mergeCell ref="H9:H10"/>
    <mergeCell ref="I9:I10"/>
    <mergeCell ref="J9:J10"/>
    <mergeCell ref="K9:K10"/>
    <mergeCell ref="R9:R10"/>
    <mergeCell ref="L9:L10"/>
    <mergeCell ref="M9:M10"/>
    <mergeCell ref="N9:N10"/>
    <mergeCell ref="O9:O10"/>
    <mergeCell ref="P9:P10"/>
    <mergeCell ref="Q9:Q10"/>
    <mergeCell ref="A5:A6"/>
    <mergeCell ref="G5:G6"/>
    <mergeCell ref="H5:H6"/>
    <mergeCell ref="I5:I6"/>
    <mergeCell ref="J5:J6"/>
    <mergeCell ref="K5:K6"/>
    <mergeCell ref="R5:R6"/>
    <mergeCell ref="A7:A8"/>
    <mergeCell ref="G7:G8"/>
    <mergeCell ref="H7:H8"/>
    <mergeCell ref="I7:I8"/>
    <mergeCell ref="J7:J8"/>
    <mergeCell ref="K7:K8"/>
    <mergeCell ref="L7:L8"/>
    <mergeCell ref="M7:M8"/>
    <mergeCell ref="N7:N8"/>
    <mergeCell ref="L5:L6"/>
    <mergeCell ref="M5:M6"/>
    <mergeCell ref="N5:N6"/>
    <mergeCell ref="O5:O6"/>
    <mergeCell ref="P5:P6"/>
    <mergeCell ref="Q5:Q6"/>
    <mergeCell ref="O7:O8"/>
    <mergeCell ref="P7:P8"/>
    <mergeCell ref="A1:R1"/>
    <mergeCell ref="A3:A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</mergeCells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2017-07-26T01:53:32Z</dcterms:created>
  <dcterms:modified xsi:type="dcterms:W3CDTF">2017-08-01T03:23:40Z</dcterms:modified>
</cp:coreProperties>
</file>