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600" yWindow="225" windowWidth="19395" windowHeight="7515"/>
  </bookViews>
  <sheets>
    <sheet name="16年标样" sheetId="1" r:id="rId1"/>
  </sheets>
  <calcPr calcId="144525"/>
</workbook>
</file>

<file path=xl/calcChain.xml><?xml version="1.0" encoding="utf-8"?>
<calcChain xmlns="http://schemas.openxmlformats.org/spreadsheetml/2006/main">
  <c r="F43" i="1" l="1"/>
  <c r="F42" i="1"/>
  <c r="M288" i="1"/>
  <c r="M286" i="1"/>
  <c r="M284" i="1"/>
  <c r="M282" i="1"/>
  <c r="M277" i="1"/>
  <c r="M275" i="1"/>
  <c r="M273" i="1"/>
  <c r="M271" i="1"/>
  <c r="M266" i="1"/>
  <c r="M264" i="1"/>
  <c r="M262" i="1"/>
  <c r="M260" i="1"/>
  <c r="M255" i="1"/>
  <c r="M253" i="1"/>
  <c r="M251" i="1"/>
  <c r="M249" i="1"/>
  <c r="M244" i="1"/>
  <c r="M242" i="1"/>
  <c r="M240" i="1"/>
  <c r="M238" i="1"/>
  <c r="M233" i="1"/>
  <c r="M231" i="1"/>
  <c r="M229" i="1"/>
  <c r="M227" i="1"/>
  <c r="M222" i="1"/>
  <c r="M220" i="1"/>
  <c r="M218" i="1"/>
  <c r="M216" i="1"/>
  <c r="M211" i="1"/>
  <c r="M209" i="1"/>
  <c r="M207" i="1"/>
  <c r="M205" i="1"/>
  <c r="M196" i="1"/>
  <c r="M198" i="1"/>
  <c r="M200" i="1"/>
  <c r="M194" i="1"/>
  <c r="M187" i="1"/>
  <c r="M185" i="1"/>
  <c r="M183" i="1"/>
  <c r="M181" i="1"/>
  <c r="M179" i="1"/>
  <c r="M177" i="1"/>
  <c r="M175" i="1"/>
  <c r="M173" i="1"/>
  <c r="M171" i="1"/>
  <c r="M166" i="1"/>
  <c r="M164" i="1"/>
  <c r="M162" i="1"/>
  <c r="M160" i="1"/>
  <c r="M158" i="1"/>
  <c r="M156" i="1"/>
  <c r="M154" i="1"/>
  <c r="M152" i="1"/>
  <c r="M150" i="1"/>
  <c r="M145" i="1"/>
  <c r="M143" i="1"/>
  <c r="M141" i="1"/>
  <c r="M139" i="1"/>
  <c r="M137" i="1"/>
  <c r="M135" i="1"/>
  <c r="M133" i="1"/>
  <c r="M131" i="1"/>
  <c r="M129" i="1"/>
  <c r="M124" i="1"/>
  <c r="M122" i="1"/>
  <c r="M120" i="1"/>
  <c r="M118" i="1"/>
  <c r="M116" i="1"/>
  <c r="M114" i="1"/>
  <c r="M112" i="1"/>
  <c r="M110" i="1"/>
  <c r="M108" i="1"/>
  <c r="M103" i="1"/>
  <c r="M101" i="1"/>
  <c r="M99" i="1"/>
  <c r="M97" i="1"/>
  <c r="M95" i="1"/>
  <c r="M93" i="1"/>
  <c r="M91" i="1"/>
  <c r="M89" i="1"/>
  <c r="M87" i="1"/>
  <c r="M82" i="1"/>
  <c r="M80" i="1"/>
  <c r="M78" i="1"/>
  <c r="M76" i="1"/>
  <c r="M74" i="1"/>
  <c r="M72" i="1"/>
  <c r="M70" i="1"/>
  <c r="M68" i="1"/>
  <c r="M66" i="1"/>
  <c r="M61" i="1"/>
  <c r="M59" i="1"/>
  <c r="M57" i="1"/>
  <c r="M55" i="1"/>
  <c r="M53" i="1"/>
  <c r="M51" i="1"/>
  <c r="M49" i="1"/>
  <c r="M47" i="1"/>
  <c r="M45" i="1"/>
  <c r="M40" i="1"/>
  <c r="M38" i="1"/>
  <c r="M36" i="1"/>
  <c r="M34" i="1"/>
  <c r="M32" i="1"/>
  <c r="M30" i="1"/>
  <c r="M28" i="1"/>
  <c r="M26" i="1"/>
  <c r="M5" i="1"/>
  <c r="M7" i="1"/>
  <c r="M9" i="1"/>
  <c r="M11" i="1"/>
  <c r="M13" i="1"/>
  <c r="M15" i="1"/>
  <c r="M17" i="1"/>
  <c r="M19" i="1"/>
  <c r="M3" i="1"/>
  <c r="K288" i="1"/>
  <c r="L288" i="1" s="1"/>
  <c r="K286" i="1"/>
  <c r="L286" i="1" s="1"/>
  <c r="K284" i="1"/>
  <c r="L284" i="1" s="1"/>
  <c r="K282" i="1"/>
  <c r="K277" i="1"/>
  <c r="L277" i="1" s="1"/>
  <c r="K275" i="1"/>
  <c r="L275" i="1" s="1"/>
  <c r="K273" i="1"/>
  <c r="L273" i="1" s="1"/>
  <c r="K271" i="1"/>
  <c r="L271" i="1" s="1"/>
  <c r="K266" i="1"/>
  <c r="L266" i="1" s="1"/>
  <c r="K264" i="1"/>
  <c r="L264" i="1" s="1"/>
  <c r="K262" i="1"/>
  <c r="L262" i="1" s="1"/>
  <c r="K260" i="1"/>
  <c r="L260" i="1" s="1"/>
  <c r="K255" i="1"/>
  <c r="L255" i="1" s="1"/>
  <c r="K253" i="1"/>
  <c r="L253" i="1" s="1"/>
  <c r="K251" i="1"/>
  <c r="L251" i="1" s="1"/>
  <c r="K249" i="1"/>
  <c r="L249" i="1" s="1"/>
  <c r="K244" i="1"/>
  <c r="L244" i="1" s="1"/>
  <c r="K242" i="1"/>
  <c r="L242" i="1" s="1"/>
  <c r="K240" i="1"/>
  <c r="L240" i="1" s="1"/>
  <c r="K238" i="1"/>
  <c r="L238" i="1" s="1"/>
  <c r="N238" i="1" s="1"/>
  <c r="K233" i="1"/>
  <c r="L233" i="1" s="1"/>
  <c r="K231" i="1"/>
  <c r="L231" i="1" s="1"/>
  <c r="K229" i="1"/>
  <c r="L229" i="1" s="1"/>
  <c r="K227" i="1"/>
  <c r="L227" i="1" s="1"/>
  <c r="K222" i="1"/>
  <c r="L222" i="1" s="1"/>
  <c r="K220" i="1"/>
  <c r="L220" i="1" s="1"/>
  <c r="K218" i="1"/>
  <c r="L218" i="1" s="1"/>
  <c r="K216" i="1"/>
  <c r="L216" i="1" s="1"/>
  <c r="K211" i="1"/>
  <c r="L211" i="1" s="1"/>
  <c r="K209" i="1"/>
  <c r="L209" i="1" s="1"/>
  <c r="K207" i="1"/>
  <c r="L207" i="1" s="1"/>
  <c r="K205" i="1"/>
  <c r="L205" i="1" s="1"/>
  <c r="K196" i="1"/>
  <c r="L196" i="1" s="1"/>
  <c r="K198" i="1"/>
  <c r="L198" i="1" s="1"/>
  <c r="K200" i="1"/>
  <c r="L200" i="1" s="1"/>
  <c r="K194" i="1"/>
  <c r="K187" i="1"/>
  <c r="L187" i="1" s="1"/>
  <c r="K185" i="1"/>
  <c r="L185" i="1" s="1"/>
  <c r="K183" i="1"/>
  <c r="L183" i="1" s="1"/>
  <c r="K181" i="1"/>
  <c r="L181" i="1" s="1"/>
  <c r="K179" i="1"/>
  <c r="L179" i="1" s="1"/>
  <c r="K177" i="1"/>
  <c r="L177" i="1" s="1"/>
  <c r="N177" i="1" s="1"/>
  <c r="K175" i="1"/>
  <c r="L175" i="1" s="1"/>
  <c r="K173" i="1"/>
  <c r="L173" i="1" s="1"/>
  <c r="K171" i="1"/>
  <c r="L171" i="1" s="1"/>
  <c r="K166" i="1"/>
  <c r="L166" i="1" s="1"/>
  <c r="K164" i="1"/>
  <c r="L164" i="1" s="1"/>
  <c r="K162" i="1"/>
  <c r="L162" i="1" s="1"/>
  <c r="K160" i="1"/>
  <c r="L160" i="1" s="1"/>
  <c r="K158" i="1"/>
  <c r="L158" i="1" s="1"/>
  <c r="K156" i="1"/>
  <c r="L156" i="1" s="1"/>
  <c r="K154" i="1"/>
  <c r="L154" i="1" s="1"/>
  <c r="K152" i="1"/>
  <c r="L152" i="1" s="1"/>
  <c r="K150" i="1"/>
  <c r="L150" i="1" s="1"/>
  <c r="K145" i="1"/>
  <c r="L145" i="1" s="1"/>
  <c r="K143" i="1"/>
  <c r="L143" i="1" s="1"/>
  <c r="K141" i="1"/>
  <c r="L141" i="1" s="1"/>
  <c r="K139" i="1"/>
  <c r="L139" i="1" s="1"/>
  <c r="K137" i="1"/>
  <c r="L137" i="1" s="1"/>
  <c r="K135" i="1"/>
  <c r="L135" i="1" s="1"/>
  <c r="K133" i="1"/>
  <c r="L133" i="1" s="1"/>
  <c r="K131" i="1"/>
  <c r="L131" i="1" s="1"/>
  <c r="K129" i="1"/>
  <c r="K124" i="1"/>
  <c r="L124" i="1" s="1"/>
  <c r="N124" i="1" s="1"/>
  <c r="K122" i="1"/>
  <c r="L122" i="1" s="1"/>
  <c r="K120" i="1"/>
  <c r="L120" i="1" s="1"/>
  <c r="K118" i="1"/>
  <c r="L118" i="1" s="1"/>
  <c r="K116" i="1"/>
  <c r="L116" i="1" s="1"/>
  <c r="K114" i="1"/>
  <c r="L114" i="1" s="1"/>
  <c r="K112" i="1"/>
  <c r="L112" i="1" s="1"/>
  <c r="N112" i="1" s="1"/>
  <c r="K110" i="1"/>
  <c r="L110" i="1" s="1"/>
  <c r="K108" i="1"/>
  <c r="K103" i="1"/>
  <c r="L103" i="1" s="1"/>
  <c r="K101" i="1"/>
  <c r="L101" i="1" s="1"/>
  <c r="K99" i="1"/>
  <c r="L99" i="1" s="1"/>
  <c r="K97" i="1"/>
  <c r="L97" i="1" s="1"/>
  <c r="K95" i="1"/>
  <c r="L95" i="1" s="1"/>
  <c r="K93" i="1"/>
  <c r="L93" i="1" s="1"/>
  <c r="K91" i="1"/>
  <c r="L91" i="1" s="1"/>
  <c r="K89" i="1"/>
  <c r="L89" i="1" s="1"/>
  <c r="K87" i="1"/>
  <c r="K82" i="1"/>
  <c r="L82" i="1" s="1"/>
  <c r="K80" i="1"/>
  <c r="L80" i="1" s="1"/>
  <c r="K78" i="1"/>
  <c r="L78" i="1" s="1"/>
  <c r="K76" i="1"/>
  <c r="L76" i="1" s="1"/>
  <c r="K74" i="1"/>
  <c r="L74" i="1" s="1"/>
  <c r="K72" i="1"/>
  <c r="L72" i="1" s="1"/>
  <c r="K70" i="1"/>
  <c r="L70" i="1" s="1"/>
  <c r="K68" i="1"/>
  <c r="L68" i="1" s="1"/>
  <c r="K66" i="1"/>
  <c r="L66" i="1" s="1"/>
  <c r="K61" i="1"/>
  <c r="L61" i="1" s="1"/>
  <c r="K59" i="1"/>
  <c r="L59" i="1" s="1"/>
  <c r="K57" i="1"/>
  <c r="L57" i="1" s="1"/>
  <c r="K55" i="1"/>
  <c r="L55" i="1" s="1"/>
  <c r="K53" i="1"/>
  <c r="K51" i="1"/>
  <c r="L51" i="1" s="1"/>
  <c r="N51" i="1" s="1"/>
  <c r="K49" i="1"/>
  <c r="L49" i="1" s="1"/>
  <c r="K47" i="1"/>
  <c r="L47" i="1" s="1"/>
  <c r="K45" i="1"/>
  <c r="K40" i="1"/>
  <c r="L40" i="1" s="1"/>
  <c r="K38" i="1"/>
  <c r="L38" i="1" s="1"/>
  <c r="K36" i="1"/>
  <c r="L36" i="1" s="1"/>
  <c r="K34" i="1"/>
  <c r="L34" i="1" s="1"/>
  <c r="K32" i="1"/>
  <c r="L32" i="1" s="1"/>
  <c r="K30" i="1"/>
  <c r="L30" i="1" s="1"/>
  <c r="K28" i="1"/>
  <c r="L28" i="1" s="1"/>
  <c r="K26" i="1"/>
  <c r="L26" i="1" s="1"/>
  <c r="K5" i="1"/>
  <c r="L5" i="1" s="1"/>
  <c r="K3" i="1"/>
  <c r="L3" i="1" s="1"/>
  <c r="K7" i="1"/>
  <c r="L7" i="1" s="1"/>
  <c r="K9" i="1"/>
  <c r="L9" i="1" s="1"/>
  <c r="K11" i="1"/>
  <c r="L11" i="1" s="1"/>
  <c r="K13" i="1"/>
  <c r="L13" i="1" s="1"/>
  <c r="K15" i="1"/>
  <c r="L15" i="1" s="1"/>
  <c r="K17" i="1"/>
  <c r="L17" i="1" s="1"/>
  <c r="K19" i="1"/>
  <c r="L19" i="1" s="1"/>
  <c r="C291" i="1"/>
  <c r="C290" i="1"/>
  <c r="F291" i="1"/>
  <c r="E291" i="1"/>
  <c r="D291" i="1"/>
  <c r="F290" i="1"/>
  <c r="E290" i="1"/>
  <c r="D290" i="1"/>
  <c r="F269" i="1"/>
  <c r="F268" i="1"/>
  <c r="D258" i="1"/>
  <c r="D257" i="1"/>
  <c r="D247" i="1"/>
  <c r="D246" i="1"/>
  <c r="E224" i="1"/>
  <c r="E225" i="1"/>
  <c r="D214" i="1"/>
  <c r="D213" i="1"/>
  <c r="D215" i="1" s="1"/>
  <c r="F169" i="1"/>
  <c r="F168" i="1"/>
  <c r="E127" i="1"/>
  <c r="E126" i="1"/>
  <c r="E43" i="1"/>
  <c r="E42" i="1"/>
  <c r="F22" i="1"/>
  <c r="E22" i="1"/>
  <c r="D22" i="1"/>
  <c r="C22" i="1"/>
  <c r="F21" i="1"/>
  <c r="E21" i="1"/>
  <c r="D21" i="1"/>
  <c r="C21" i="1"/>
  <c r="D43" i="1"/>
  <c r="C43" i="1"/>
  <c r="D42" i="1"/>
  <c r="C42" i="1"/>
  <c r="F64" i="1"/>
  <c r="E64" i="1"/>
  <c r="D64" i="1"/>
  <c r="C64" i="1"/>
  <c r="F63" i="1"/>
  <c r="E63" i="1"/>
  <c r="D63" i="1"/>
  <c r="C63" i="1"/>
  <c r="F85" i="1"/>
  <c r="E85" i="1"/>
  <c r="D85" i="1"/>
  <c r="C85" i="1"/>
  <c r="F84" i="1"/>
  <c r="E84" i="1"/>
  <c r="D84" i="1"/>
  <c r="C84" i="1"/>
  <c r="C86" i="1" s="1"/>
  <c r="F106" i="1"/>
  <c r="E106" i="1"/>
  <c r="D106" i="1"/>
  <c r="C106" i="1"/>
  <c r="F105" i="1"/>
  <c r="E105" i="1"/>
  <c r="D105" i="1"/>
  <c r="C105" i="1"/>
  <c r="F127" i="1"/>
  <c r="D127" i="1"/>
  <c r="C127" i="1"/>
  <c r="F126" i="1"/>
  <c r="D126" i="1"/>
  <c r="C126" i="1"/>
  <c r="F148" i="1"/>
  <c r="E148" i="1"/>
  <c r="D148" i="1"/>
  <c r="C148" i="1"/>
  <c r="F147" i="1"/>
  <c r="E147" i="1"/>
  <c r="D147" i="1"/>
  <c r="C147" i="1"/>
  <c r="E169" i="1"/>
  <c r="D169" i="1"/>
  <c r="C169" i="1"/>
  <c r="E168" i="1"/>
  <c r="D168" i="1"/>
  <c r="C168" i="1"/>
  <c r="D189" i="1"/>
  <c r="E189" i="1"/>
  <c r="F189" i="1"/>
  <c r="D190" i="1"/>
  <c r="E190" i="1"/>
  <c r="F190" i="1"/>
  <c r="C190" i="1"/>
  <c r="C189" i="1"/>
  <c r="F203" i="1"/>
  <c r="E203" i="1"/>
  <c r="D203" i="1"/>
  <c r="C203" i="1"/>
  <c r="F202" i="1"/>
  <c r="E202" i="1"/>
  <c r="D202" i="1"/>
  <c r="C202" i="1"/>
  <c r="F214" i="1"/>
  <c r="E214" i="1"/>
  <c r="C214" i="1"/>
  <c r="F213" i="1"/>
  <c r="E213" i="1"/>
  <c r="C213" i="1"/>
  <c r="F225" i="1"/>
  <c r="D225" i="1"/>
  <c r="C225" i="1"/>
  <c r="F224" i="1"/>
  <c r="D224" i="1"/>
  <c r="C224" i="1"/>
  <c r="F236" i="1"/>
  <c r="E236" i="1"/>
  <c r="D236" i="1"/>
  <c r="C236" i="1"/>
  <c r="F235" i="1"/>
  <c r="E235" i="1"/>
  <c r="D235" i="1"/>
  <c r="C235" i="1"/>
  <c r="F247" i="1"/>
  <c r="E247" i="1"/>
  <c r="C247" i="1"/>
  <c r="F246" i="1"/>
  <c r="E246" i="1"/>
  <c r="C246" i="1"/>
  <c r="F258" i="1"/>
  <c r="E258" i="1"/>
  <c r="C258" i="1"/>
  <c r="F257" i="1"/>
  <c r="E257" i="1"/>
  <c r="C257" i="1"/>
  <c r="E269" i="1"/>
  <c r="D269" i="1"/>
  <c r="C269" i="1"/>
  <c r="E268" i="1"/>
  <c r="D268" i="1"/>
  <c r="C268" i="1"/>
  <c r="D279" i="1"/>
  <c r="E279" i="1"/>
  <c r="F279" i="1"/>
  <c r="D280" i="1"/>
  <c r="E280" i="1"/>
  <c r="F280" i="1"/>
  <c r="C280" i="1"/>
  <c r="C279" i="1"/>
  <c r="N13" i="1" l="1"/>
  <c r="N3" i="1"/>
  <c r="E65" i="1"/>
  <c r="N19" i="1"/>
  <c r="N11" i="1"/>
  <c r="N17" i="1"/>
  <c r="N9" i="1"/>
  <c r="N26" i="1"/>
  <c r="N264" i="1"/>
  <c r="D259" i="1"/>
  <c r="N175" i="1"/>
  <c r="D107" i="1"/>
  <c r="C128" i="1"/>
  <c r="N74" i="1"/>
  <c r="N150" i="1"/>
  <c r="N185" i="1"/>
  <c r="N220" i="1"/>
  <c r="N286" i="1"/>
  <c r="M106" i="1"/>
  <c r="D149" i="1"/>
  <c r="D44" i="1"/>
  <c r="F191" i="1"/>
  <c r="N47" i="1"/>
  <c r="N82" i="1"/>
  <c r="N120" i="1"/>
  <c r="N139" i="1"/>
  <c r="E226" i="1"/>
  <c r="E149" i="1"/>
  <c r="N36" i="1"/>
  <c r="N55" i="1"/>
  <c r="N93" i="1"/>
  <c r="N131" i="1"/>
  <c r="N166" i="1"/>
  <c r="N209" i="1"/>
  <c r="N231" i="1"/>
  <c r="N253" i="1"/>
  <c r="N275" i="1"/>
  <c r="D237" i="1"/>
  <c r="F270" i="1"/>
  <c r="N30" i="1"/>
  <c r="N57" i="1"/>
  <c r="N68" i="1"/>
  <c r="N95" i="1"/>
  <c r="N103" i="1"/>
  <c r="N133" i="1"/>
  <c r="N141" i="1"/>
  <c r="N171" i="1"/>
  <c r="N179" i="1"/>
  <c r="N196" i="1"/>
  <c r="N222" i="1"/>
  <c r="N244" i="1"/>
  <c r="N266" i="1"/>
  <c r="N288" i="1"/>
  <c r="N205" i="1"/>
  <c r="F281" i="1"/>
  <c r="C65" i="1"/>
  <c r="C23" i="1"/>
  <c r="N28" i="1"/>
  <c r="N66" i="1"/>
  <c r="N101" i="1"/>
  <c r="N158" i="1"/>
  <c r="N198" i="1"/>
  <c r="N242" i="1"/>
  <c r="F170" i="1"/>
  <c r="N61" i="1"/>
  <c r="N99" i="1"/>
  <c r="N137" i="1"/>
  <c r="E191" i="1"/>
  <c r="E107" i="1"/>
  <c r="E86" i="1"/>
  <c r="C191" i="1"/>
  <c r="F107" i="1"/>
  <c r="N32" i="1"/>
  <c r="N70" i="1"/>
  <c r="N89" i="1"/>
  <c r="K127" i="1"/>
  <c r="N143" i="1"/>
  <c r="N162" i="1"/>
  <c r="N181" i="1"/>
  <c r="N227" i="1"/>
  <c r="N260" i="1"/>
  <c r="K190" i="1"/>
  <c r="K189" i="1"/>
  <c r="D170" i="1"/>
  <c r="C44" i="1"/>
  <c r="E128" i="1"/>
  <c r="N80" i="1"/>
  <c r="N118" i="1"/>
  <c r="N156" i="1"/>
  <c r="C149" i="1"/>
  <c r="N5" i="1"/>
  <c r="N40" i="1"/>
  <c r="N59" i="1"/>
  <c r="N78" i="1"/>
  <c r="N97" i="1"/>
  <c r="N116" i="1"/>
  <c r="N135" i="1"/>
  <c r="N154" i="1"/>
  <c r="N173" i="1"/>
  <c r="N216" i="1"/>
  <c r="N249" i="1"/>
  <c r="N271" i="1"/>
  <c r="M126" i="1"/>
  <c r="E270" i="1"/>
  <c r="C259" i="1"/>
  <c r="F248" i="1"/>
  <c r="C226" i="1"/>
  <c r="F215" i="1"/>
  <c r="D65" i="1"/>
  <c r="E44" i="1"/>
  <c r="C292" i="1"/>
  <c r="N15" i="1"/>
  <c r="N7" i="1"/>
  <c r="N38" i="1"/>
  <c r="N49" i="1"/>
  <c r="N76" i="1"/>
  <c r="N114" i="1"/>
  <c r="N122" i="1"/>
  <c r="M169" i="1"/>
  <c r="N160" i="1"/>
  <c r="M190" i="1"/>
  <c r="N187" i="1"/>
  <c r="M257" i="1"/>
  <c r="F237" i="1"/>
  <c r="F204" i="1"/>
  <c r="C170" i="1"/>
  <c r="F128" i="1"/>
  <c r="F65" i="1"/>
  <c r="K290" i="1"/>
  <c r="L282" i="1"/>
  <c r="N282" i="1" s="1"/>
  <c r="N211" i="1"/>
  <c r="N233" i="1"/>
  <c r="N255" i="1"/>
  <c r="N277" i="1"/>
  <c r="M64" i="1"/>
  <c r="M148" i="1"/>
  <c r="M147" i="1"/>
  <c r="M258" i="1"/>
  <c r="M291" i="1"/>
  <c r="E281" i="1"/>
  <c r="D226" i="1"/>
  <c r="D191" i="1"/>
  <c r="D128" i="1"/>
  <c r="C107" i="1"/>
  <c r="D23" i="1"/>
  <c r="D292" i="1"/>
  <c r="N34" i="1"/>
  <c r="N72" i="1"/>
  <c r="N91" i="1"/>
  <c r="N110" i="1"/>
  <c r="N145" i="1"/>
  <c r="N164" i="1"/>
  <c r="N183" i="1"/>
  <c r="D204" i="1"/>
  <c r="N152" i="1"/>
  <c r="C281" i="1"/>
  <c r="D281" i="1"/>
  <c r="D270" i="1"/>
  <c r="E248" i="1"/>
  <c r="E237" i="1"/>
  <c r="E215" i="1"/>
  <c r="E204" i="1"/>
  <c r="D86" i="1"/>
  <c r="E23" i="1"/>
  <c r="D248" i="1"/>
  <c r="F292" i="1"/>
  <c r="K21" i="1"/>
  <c r="K106" i="1"/>
  <c r="L87" i="1"/>
  <c r="N87" i="1" s="1"/>
  <c r="L108" i="1"/>
  <c r="N108" i="1" s="1"/>
  <c r="N207" i="1"/>
  <c r="N229" i="1"/>
  <c r="N251" i="1"/>
  <c r="N273" i="1"/>
  <c r="E170" i="1"/>
  <c r="F149" i="1"/>
  <c r="F86" i="1"/>
  <c r="F23" i="1"/>
  <c r="E292" i="1"/>
  <c r="K85" i="1"/>
  <c r="K168" i="1"/>
  <c r="N200" i="1"/>
  <c r="N218" i="1"/>
  <c r="N240" i="1"/>
  <c r="N262" i="1"/>
  <c r="N284" i="1"/>
  <c r="K63" i="1"/>
  <c r="K64" i="1"/>
  <c r="K148" i="1"/>
  <c r="K291" i="1"/>
  <c r="L45" i="1"/>
  <c r="N45" i="1" s="1"/>
  <c r="L53" i="1"/>
  <c r="N53" i="1" s="1"/>
  <c r="L129" i="1"/>
  <c r="N129" i="1" s="1"/>
  <c r="M85" i="1"/>
  <c r="M168" i="1"/>
  <c r="M22" i="1"/>
  <c r="M105" i="1"/>
  <c r="M127" i="1"/>
  <c r="M290" i="1"/>
  <c r="M292" i="1" s="1"/>
  <c r="M202" i="1"/>
  <c r="M203" i="1"/>
  <c r="M189" i="1"/>
  <c r="M84" i="1"/>
  <c r="M63" i="1"/>
  <c r="M21" i="1"/>
  <c r="K169" i="1"/>
  <c r="K147" i="1"/>
  <c r="K126" i="1"/>
  <c r="K128" i="1" s="1"/>
  <c r="K105" i="1"/>
  <c r="K84" i="1"/>
  <c r="L22" i="1"/>
  <c r="K22" i="1"/>
  <c r="L21" i="1"/>
  <c r="F259" i="1"/>
  <c r="F226" i="1"/>
  <c r="E259" i="1"/>
  <c r="C270" i="1"/>
  <c r="C248" i="1"/>
  <c r="C237" i="1"/>
  <c r="C215" i="1"/>
  <c r="C204" i="1"/>
  <c r="H3" i="1"/>
  <c r="I3" i="1"/>
  <c r="H5" i="1"/>
  <c r="I5" i="1"/>
  <c r="H7" i="1"/>
  <c r="I7" i="1"/>
  <c r="H9" i="1"/>
  <c r="I9" i="1"/>
  <c r="H11" i="1"/>
  <c r="I11" i="1"/>
  <c r="H13" i="1"/>
  <c r="I13" i="1"/>
  <c r="H15" i="1"/>
  <c r="I15" i="1"/>
  <c r="H17" i="1"/>
  <c r="I17" i="1"/>
  <c r="H19" i="1"/>
  <c r="I19" i="1"/>
  <c r="H24" i="1"/>
  <c r="I24" i="1"/>
  <c r="H26" i="1"/>
  <c r="I26" i="1"/>
  <c r="H28" i="1"/>
  <c r="I28" i="1"/>
  <c r="H30" i="1"/>
  <c r="I30" i="1"/>
  <c r="H32" i="1"/>
  <c r="I32" i="1"/>
  <c r="H34" i="1"/>
  <c r="I34" i="1"/>
  <c r="H36" i="1"/>
  <c r="I36" i="1"/>
  <c r="H38" i="1"/>
  <c r="I38" i="1"/>
  <c r="H40" i="1"/>
  <c r="I40" i="1"/>
  <c r="H45" i="1"/>
  <c r="I45" i="1"/>
  <c r="H47" i="1"/>
  <c r="I47" i="1"/>
  <c r="H49" i="1"/>
  <c r="I49" i="1"/>
  <c r="H51" i="1"/>
  <c r="I51" i="1"/>
  <c r="H53" i="1"/>
  <c r="I53" i="1"/>
  <c r="H55" i="1"/>
  <c r="I55" i="1"/>
  <c r="H57" i="1"/>
  <c r="I57" i="1"/>
  <c r="H59" i="1"/>
  <c r="I59" i="1"/>
  <c r="H61" i="1"/>
  <c r="I61" i="1"/>
  <c r="H66" i="1"/>
  <c r="I66" i="1"/>
  <c r="H68" i="1"/>
  <c r="I68" i="1"/>
  <c r="H70" i="1"/>
  <c r="I70" i="1"/>
  <c r="H72" i="1"/>
  <c r="I72" i="1"/>
  <c r="H74" i="1"/>
  <c r="I74" i="1"/>
  <c r="H76" i="1"/>
  <c r="I76" i="1"/>
  <c r="H78" i="1"/>
  <c r="I78" i="1"/>
  <c r="H80" i="1"/>
  <c r="I80" i="1"/>
  <c r="H82" i="1"/>
  <c r="I82" i="1"/>
  <c r="H87" i="1"/>
  <c r="I87" i="1"/>
  <c r="H89" i="1"/>
  <c r="I89" i="1"/>
  <c r="H91" i="1"/>
  <c r="I91" i="1"/>
  <c r="H93" i="1"/>
  <c r="I93" i="1"/>
  <c r="H95" i="1"/>
  <c r="I95" i="1"/>
  <c r="H97" i="1"/>
  <c r="I97" i="1"/>
  <c r="H99" i="1"/>
  <c r="I99" i="1"/>
  <c r="H101" i="1"/>
  <c r="I101" i="1"/>
  <c r="H103" i="1"/>
  <c r="I103" i="1"/>
  <c r="H108" i="1"/>
  <c r="I108" i="1"/>
  <c r="H110" i="1"/>
  <c r="I110" i="1"/>
  <c r="H112" i="1"/>
  <c r="I112" i="1"/>
  <c r="H114" i="1"/>
  <c r="I114" i="1"/>
  <c r="H116" i="1"/>
  <c r="I116" i="1"/>
  <c r="H118" i="1"/>
  <c r="I118" i="1"/>
  <c r="H120" i="1"/>
  <c r="I120" i="1"/>
  <c r="H122" i="1"/>
  <c r="I122" i="1"/>
  <c r="H124" i="1"/>
  <c r="I124" i="1"/>
  <c r="H129" i="1"/>
  <c r="I129" i="1"/>
  <c r="H131" i="1"/>
  <c r="I131" i="1"/>
  <c r="H133" i="1"/>
  <c r="I133" i="1"/>
  <c r="H135" i="1"/>
  <c r="I135" i="1"/>
  <c r="H137" i="1"/>
  <c r="I137" i="1"/>
  <c r="H139" i="1"/>
  <c r="I139" i="1"/>
  <c r="H141" i="1"/>
  <c r="I141" i="1"/>
  <c r="H143" i="1"/>
  <c r="I143" i="1"/>
  <c r="H145" i="1"/>
  <c r="I145" i="1"/>
  <c r="H150" i="1"/>
  <c r="I150" i="1"/>
  <c r="H152" i="1"/>
  <c r="I152" i="1"/>
  <c r="H154" i="1"/>
  <c r="I154" i="1"/>
  <c r="H156" i="1"/>
  <c r="I156" i="1"/>
  <c r="H158" i="1"/>
  <c r="I158" i="1"/>
  <c r="H160" i="1"/>
  <c r="I160" i="1"/>
  <c r="H162" i="1"/>
  <c r="I162" i="1"/>
  <c r="H164" i="1"/>
  <c r="I164" i="1"/>
  <c r="H166" i="1"/>
  <c r="I166" i="1"/>
  <c r="H171" i="1"/>
  <c r="I171" i="1"/>
  <c r="H173" i="1"/>
  <c r="I173" i="1"/>
  <c r="H175" i="1"/>
  <c r="I175" i="1"/>
  <c r="H177" i="1"/>
  <c r="I177" i="1"/>
  <c r="H179" i="1"/>
  <c r="I179" i="1"/>
  <c r="H181" i="1"/>
  <c r="I181" i="1"/>
  <c r="H183" i="1"/>
  <c r="I183" i="1"/>
  <c r="H185" i="1"/>
  <c r="I185" i="1"/>
  <c r="H187" i="1"/>
  <c r="I187" i="1"/>
  <c r="G17" i="1"/>
  <c r="G19" i="1"/>
  <c r="G24" i="1"/>
  <c r="G26" i="1"/>
  <c r="G28" i="1"/>
  <c r="G30" i="1"/>
  <c r="G32" i="1"/>
  <c r="G34" i="1"/>
  <c r="G36" i="1"/>
  <c r="G38" i="1"/>
  <c r="G40" i="1"/>
  <c r="G45" i="1"/>
  <c r="G47" i="1"/>
  <c r="G49" i="1"/>
  <c r="G51" i="1"/>
  <c r="G53" i="1"/>
  <c r="G55" i="1"/>
  <c r="G57" i="1"/>
  <c r="G59" i="1"/>
  <c r="G61" i="1"/>
  <c r="G66" i="1"/>
  <c r="G68" i="1"/>
  <c r="G70" i="1"/>
  <c r="G72" i="1"/>
  <c r="G74" i="1"/>
  <c r="G76" i="1"/>
  <c r="G78" i="1"/>
  <c r="G80" i="1"/>
  <c r="G82" i="1"/>
  <c r="G87" i="1"/>
  <c r="G89" i="1"/>
  <c r="G91" i="1"/>
  <c r="G93" i="1"/>
  <c r="G95" i="1"/>
  <c r="G97" i="1"/>
  <c r="G99" i="1"/>
  <c r="G101" i="1"/>
  <c r="G103" i="1"/>
  <c r="G108" i="1"/>
  <c r="G110" i="1"/>
  <c r="G112" i="1"/>
  <c r="G114" i="1"/>
  <c r="G116" i="1"/>
  <c r="G118" i="1"/>
  <c r="G120" i="1"/>
  <c r="G122" i="1"/>
  <c r="G124" i="1"/>
  <c r="G129" i="1"/>
  <c r="G131" i="1"/>
  <c r="G133" i="1"/>
  <c r="G135" i="1"/>
  <c r="G137" i="1"/>
  <c r="G139" i="1"/>
  <c r="G141" i="1"/>
  <c r="G143" i="1"/>
  <c r="G145" i="1"/>
  <c r="G150" i="1"/>
  <c r="G152" i="1"/>
  <c r="G154" i="1"/>
  <c r="G156" i="1"/>
  <c r="G158" i="1"/>
  <c r="G160" i="1"/>
  <c r="G162" i="1"/>
  <c r="G164" i="1"/>
  <c r="G166" i="1"/>
  <c r="G171" i="1"/>
  <c r="G173" i="1"/>
  <c r="G175" i="1"/>
  <c r="G177" i="1"/>
  <c r="G179" i="1"/>
  <c r="G181" i="1"/>
  <c r="G183" i="1"/>
  <c r="G185" i="1"/>
  <c r="G187" i="1"/>
  <c r="G15" i="1"/>
  <c r="G7" i="1"/>
  <c r="G9" i="1"/>
  <c r="G11" i="1"/>
  <c r="G13" i="1"/>
  <c r="G5" i="1"/>
  <c r="G3" i="1"/>
  <c r="K65" i="1" l="1"/>
  <c r="J13" i="1"/>
  <c r="J181" i="1"/>
  <c r="J173" i="1"/>
  <c r="J162" i="1"/>
  <c r="J154" i="1"/>
  <c r="J143" i="1"/>
  <c r="J135" i="1"/>
  <c r="J124" i="1"/>
  <c r="J116" i="1"/>
  <c r="J97" i="1"/>
  <c r="J89" i="1"/>
  <c r="J78" i="1"/>
  <c r="J70" i="1"/>
  <c r="J59" i="1"/>
  <c r="J51" i="1"/>
  <c r="J40" i="1"/>
  <c r="J32" i="1"/>
  <c r="K191" i="1"/>
  <c r="K149" i="1"/>
  <c r="K86" i="1"/>
  <c r="M191" i="1"/>
  <c r="K292" i="1"/>
  <c r="M107" i="1"/>
  <c r="M170" i="1"/>
  <c r="M259" i="1"/>
  <c r="K23" i="1"/>
  <c r="K107" i="1"/>
  <c r="M149" i="1"/>
  <c r="M128" i="1"/>
  <c r="J5" i="1"/>
  <c r="M65" i="1"/>
  <c r="J15" i="1"/>
  <c r="K170" i="1"/>
  <c r="G126" i="1"/>
  <c r="G127" i="1"/>
  <c r="J108" i="1"/>
  <c r="H189" i="1"/>
  <c r="H190" i="1"/>
  <c r="H105" i="1"/>
  <c r="H106" i="1"/>
  <c r="H21" i="1"/>
  <c r="H22" i="1"/>
  <c r="J11" i="1"/>
  <c r="J187" i="1"/>
  <c r="J179" i="1"/>
  <c r="G189" i="1"/>
  <c r="J171" i="1"/>
  <c r="G190" i="1"/>
  <c r="J160" i="1"/>
  <c r="J152" i="1"/>
  <c r="J141" i="1"/>
  <c r="J133" i="1"/>
  <c r="J122" i="1"/>
  <c r="J114" i="1"/>
  <c r="J103" i="1"/>
  <c r="J95" i="1"/>
  <c r="J87" i="1"/>
  <c r="G105" i="1"/>
  <c r="G106" i="1"/>
  <c r="J76" i="1"/>
  <c r="J68" i="1"/>
  <c r="J57" i="1"/>
  <c r="J49" i="1"/>
  <c r="J38" i="1"/>
  <c r="J30" i="1"/>
  <c r="J19" i="1"/>
  <c r="I169" i="1"/>
  <c r="I168" i="1"/>
  <c r="I126" i="1"/>
  <c r="I127" i="1"/>
  <c r="I85" i="1"/>
  <c r="I84" i="1"/>
  <c r="I43" i="1"/>
  <c r="I42" i="1"/>
  <c r="M86" i="1"/>
  <c r="G22" i="1"/>
  <c r="G21" i="1"/>
  <c r="J9" i="1"/>
  <c r="J185" i="1"/>
  <c r="J177" i="1"/>
  <c r="J166" i="1"/>
  <c r="J158" i="1"/>
  <c r="J150" i="1"/>
  <c r="G168" i="1"/>
  <c r="G169" i="1"/>
  <c r="J139" i="1"/>
  <c r="J131" i="1"/>
  <c r="J120" i="1"/>
  <c r="J112" i="1"/>
  <c r="J101" i="1"/>
  <c r="J93" i="1"/>
  <c r="J82" i="1"/>
  <c r="J74" i="1"/>
  <c r="J66" i="1"/>
  <c r="G85" i="1"/>
  <c r="G84" i="1"/>
  <c r="J55" i="1"/>
  <c r="J47" i="1"/>
  <c r="J36" i="1"/>
  <c r="J28" i="1"/>
  <c r="J17" i="1"/>
  <c r="H169" i="1"/>
  <c r="H168" i="1"/>
  <c r="H127" i="1"/>
  <c r="H126" i="1"/>
  <c r="H84" i="1"/>
  <c r="H85" i="1"/>
  <c r="H42" i="1"/>
  <c r="H43" i="1"/>
  <c r="G42" i="1"/>
  <c r="J24" i="1"/>
  <c r="G43" i="1"/>
  <c r="H147" i="1"/>
  <c r="H148" i="1"/>
  <c r="H63" i="1"/>
  <c r="H64" i="1"/>
  <c r="J7" i="1"/>
  <c r="J183" i="1"/>
  <c r="J175" i="1"/>
  <c r="J164" i="1"/>
  <c r="J156" i="1"/>
  <c r="J145" i="1"/>
  <c r="J137" i="1"/>
  <c r="G148" i="1"/>
  <c r="J129" i="1"/>
  <c r="G147" i="1"/>
  <c r="J118" i="1"/>
  <c r="J110" i="1"/>
  <c r="J99" i="1"/>
  <c r="J91" i="1"/>
  <c r="J80" i="1"/>
  <c r="J72" i="1"/>
  <c r="J61" i="1"/>
  <c r="J53" i="1"/>
  <c r="G64" i="1"/>
  <c r="J45" i="1"/>
  <c r="G63" i="1"/>
  <c r="J34" i="1"/>
  <c r="J26" i="1"/>
  <c r="I189" i="1"/>
  <c r="I190" i="1"/>
  <c r="I148" i="1"/>
  <c r="I147" i="1"/>
  <c r="I106" i="1"/>
  <c r="I105" i="1"/>
  <c r="I64" i="1"/>
  <c r="I63" i="1"/>
  <c r="I21" i="1"/>
  <c r="I22" i="1"/>
  <c r="L23" i="1"/>
  <c r="M23" i="1"/>
  <c r="M204" i="1"/>
  <c r="H194" i="1"/>
  <c r="I194" i="1"/>
  <c r="H196" i="1"/>
  <c r="I196" i="1"/>
  <c r="H198" i="1"/>
  <c r="I198" i="1"/>
  <c r="H200" i="1"/>
  <c r="I200" i="1"/>
  <c r="H205" i="1"/>
  <c r="I205" i="1"/>
  <c r="H207" i="1"/>
  <c r="I207" i="1"/>
  <c r="H209" i="1"/>
  <c r="I209" i="1"/>
  <c r="H211" i="1"/>
  <c r="I211" i="1"/>
  <c r="H216" i="1"/>
  <c r="I216" i="1"/>
  <c r="H218" i="1"/>
  <c r="I218" i="1"/>
  <c r="H220" i="1"/>
  <c r="I220" i="1"/>
  <c r="H222" i="1"/>
  <c r="I222" i="1"/>
  <c r="H227" i="1"/>
  <c r="I227" i="1"/>
  <c r="H229" i="1"/>
  <c r="I229" i="1"/>
  <c r="H231" i="1"/>
  <c r="I231" i="1"/>
  <c r="H233" i="1"/>
  <c r="I233" i="1"/>
  <c r="H238" i="1"/>
  <c r="I238" i="1"/>
  <c r="H240" i="1"/>
  <c r="I240" i="1"/>
  <c r="H242" i="1"/>
  <c r="I242" i="1"/>
  <c r="H244" i="1"/>
  <c r="I244" i="1"/>
  <c r="H249" i="1"/>
  <c r="I249" i="1"/>
  <c r="H251" i="1"/>
  <c r="I251" i="1"/>
  <c r="H253" i="1"/>
  <c r="I253" i="1"/>
  <c r="H255" i="1"/>
  <c r="I255" i="1"/>
  <c r="H260" i="1"/>
  <c r="I260" i="1"/>
  <c r="H262" i="1"/>
  <c r="I262" i="1"/>
  <c r="H264" i="1"/>
  <c r="I264" i="1"/>
  <c r="H266" i="1"/>
  <c r="I266" i="1"/>
  <c r="H271" i="1"/>
  <c r="I271" i="1"/>
  <c r="H273" i="1"/>
  <c r="I273" i="1"/>
  <c r="H275" i="1"/>
  <c r="I275" i="1"/>
  <c r="H277" i="1"/>
  <c r="I277" i="1"/>
  <c r="H282" i="1"/>
  <c r="I282" i="1"/>
  <c r="H284" i="1"/>
  <c r="I284" i="1"/>
  <c r="H286" i="1"/>
  <c r="I286" i="1"/>
  <c r="H288" i="1"/>
  <c r="I288" i="1"/>
  <c r="G196" i="1"/>
  <c r="G198" i="1"/>
  <c r="G200" i="1"/>
  <c r="G205" i="1"/>
  <c r="G207" i="1"/>
  <c r="G209" i="1"/>
  <c r="G211" i="1"/>
  <c r="G216" i="1"/>
  <c r="G218" i="1"/>
  <c r="G220" i="1"/>
  <c r="G222" i="1"/>
  <c r="G227" i="1"/>
  <c r="G229" i="1"/>
  <c r="G231" i="1"/>
  <c r="G233" i="1"/>
  <c r="G238" i="1"/>
  <c r="G240" i="1"/>
  <c r="G242" i="1"/>
  <c r="G244" i="1"/>
  <c r="G249" i="1"/>
  <c r="G251" i="1"/>
  <c r="G253" i="1"/>
  <c r="G255" i="1"/>
  <c r="G260" i="1"/>
  <c r="G262" i="1"/>
  <c r="G264" i="1"/>
  <c r="G266" i="1"/>
  <c r="G271" i="1"/>
  <c r="G273" i="1"/>
  <c r="G275" i="1"/>
  <c r="G277" i="1"/>
  <c r="G282" i="1"/>
  <c r="G284" i="1"/>
  <c r="G286" i="1"/>
  <c r="G288" i="1"/>
  <c r="G194" i="1"/>
  <c r="J286" i="1" l="1"/>
  <c r="J275" i="1"/>
  <c r="J264" i="1"/>
  <c r="J253" i="1"/>
  <c r="J242" i="1"/>
  <c r="J231" i="1"/>
  <c r="J220" i="1"/>
  <c r="J209" i="1"/>
  <c r="J198" i="1"/>
  <c r="I128" i="1"/>
  <c r="H23" i="1"/>
  <c r="H191" i="1"/>
  <c r="H44" i="1"/>
  <c r="G23" i="1"/>
  <c r="G65" i="1"/>
  <c r="J288" i="1"/>
  <c r="J277" i="1"/>
  <c r="J266" i="1"/>
  <c r="J255" i="1"/>
  <c r="J244" i="1"/>
  <c r="J233" i="1"/>
  <c r="J222" i="1"/>
  <c r="J211" i="1"/>
  <c r="J200" i="1"/>
  <c r="J43" i="1"/>
  <c r="H65" i="1"/>
  <c r="H86" i="1"/>
  <c r="H170" i="1"/>
  <c r="J169" i="1"/>
  <c r="G107" i="1"/>
  <c r="G128" i="1"/>
  <c r="J106" i="1"/>
  <c r="I23" i="1"/>
  <c r="I191" i="1"/>
  <c r="G191" i="1"/>
  <c r="H107" i="1"/>
  <c r="J42" i="1"/>
  <c r="J127" i="1"/>
  <c r="I290" i="1"/>
  <c r="I291" i="1"/>
  <c r="I279" i="1"/>
  <c r="I280" i="1"/>
  <c r="I65" i="1"/>
  <c r="G86" i="1"/>
  <c r="I86" i="1"/>
  <c r="J64" i="1"/>
  <c r="J189" i="1"/>
  <c r="J284" i="1"/>
  <c r="J251" i="1"/>
  <c r="J229" i="1"/>
  <c r="J207" i="1"/>
  <c r="J196" i="1"/>
  <c r="H291" i="1"/>
  <c r="H290" i="1"/>
  <c r="J148" i="1"/>
  <c r="J147" i="1"/>
  <c r="H149" i="1"/>
  <c r="J84" i="1"/>
  <c r="J168" i="1"/>
  <c r="I236" i="1"/>
  <c r="I235" i="1"/>
  <c r="I149" i="1"/>
  <c r="I170" i="1"/>
  <c r="J273" i="1"/>
  <c r="J262" i="1"/>
  <c r="J240" i="1"/>
  <c r="J218" i="1"/>
  <c r="G203" i="1"/>
  <c r="G202" i="1"/>
  <c r="J194" i="1"/>
  <c r="G291" i="1"/>
  <c r="G290" i="1"/>
  <c r="J282" i="1"/>
  <c r="J271" i="1"/>
  <c r="J260" i="1"/>
  <c r="J249" i="1"/>
  <c r="J238" i="1"/>
  <c r="J227" i="1"/>
  <c r="J216" i="1"/>
  <c r="J205" i="1"/>
  <c r="G214" i="1"/>
  <c r="G213" i="1"/>
  <c r="I107" i="1"/>
  <c r="J63" i="1"/>
  <c r="J126" i="1"/>
  <c r="G149" i="1"/>
  <c r="G44" i="1"/>
  <c r="H128" i="1"/>
  <c r="G170" i="1"/>
  <c r="I44" i="1"/>
  <c r="J85" i="1"/>
  <c r="J105" i="1"/>
  <c r="J190" i="1"/>
  <c r="G280" i="1"/>
  <c r="G279" i="1"/>
  <c r="G269" i="1"/>
  <c r="G268" i="1"/>
  <c r="G247" i="1"/>
  <c r="G246" i="1"/>
  <c r="G225" i="1"/>
  <c r="G224" i="1"/>
  <c r="H280" i="1"/>
  <c r="H279" i="1"/>
  <c r="H269" i="1"/>
  <c r="H268" i="1"/>
  <c r="H258" i="1"/>
  <c r="H257" i="1"/>
  <c r="H247" i="1"/>
  <c r="H246" i="1"/>
  <c r="H235" i="1"/>
  <c r="H236" i="1"/>
  <c r="H224" i="1"/>
  <c r="H225" i="1"/>
  <c r="H213" i="1"/>
  <c r="H214" i="1"/>
  <c r="H203" i="1"/>
  <c r="H202" i="1"/>
  <c r="I268" i="1"/>
  <c r="I269" i="1"/>
  <c r="I258" i="1"/>
  <c r="I257" i="1"/>
  <c r="I246" i="1"/>
  <c r="I247" i="1"/>
  <c r="I224" i="1"/>
  <c r="I225" i="1"/>
  <c r="I214" i="1"/>
  <c r="I213" i="1"/>
  <c r="I203" i="1"/>
  <c r="I202" i="1"/>
  <c r="G236" i="1"/>
  <c r="G235" i="1"/>
  <c r="G258" i="1"/>
  <c r="G257" i="1"/>
  <c r="J3" i="1"/>
  <c r="J22" i="1" s="1"/>
  <c r="J170" i="1" l="1"/>
  <c r="J44" i="1"/>
  <c r="H292" i="1"/>
  <c r="I281" i="1"/>
  <c r="J191" i="1"/>
  <c r="I259" i="1"/>
  <c r="J107" i="1"/>
  <c r="G204" i="1"/>
  <c r="I237" i="1"/>
  <c r="J128" i="1"/>
  <c r="J86" i="1"/>
  <c r="J21" i="1"/>
  <c r="J23" i="1" s="1"/>
  <c r="J65" i="1"/>
  <c r="G292" i="1"/>
  <c r="I248" i="1"/>
  <c r="H215" i="1"/>
  <c r="H237" i="1"/>
  <c r="H281" i="1"/>
  <c r="G248" i="1"/>
  <c r="G281" i="1"/>
  <c r="H270" i="1"/>
  <c r="G215" i="1"/>
  <c r="J290" i="1"/>
  <c r="J291" i="1"/>
  <c r="J149" i="1"/>
  <c r="I292" i="1"/>
  <c r="J279" i="1"/>
  <c r="J280" i="1"/>
  <c r="J257" i="1"/>
  <c r="J258" i="1"/>
  <c r="J246" i="1"/>
  <c r="J247" i="1"/>
  <c r="J235" i="1"/>
  <c r="J236" i="1"/>
  <c r="G237" i="1"/>
  <c r="I226" i="1"/>
  <c r="I270" i="1"/>
  <c r="H226" i="1"/>
  <c r="G270" i="1"/>
  <c r="J224" i="1"/>
  <c r="J225" i="1"/>
  <c r="I215" i="1"/>
  <c r="H259" i="1"/>
  <c r="J202" i="1"/>
  <c r="J203" i="1"/>
  <c r="J213" i="1"/>
  <c r="J214" i="1"/>
  <c r="J268" i="1"/>
  <c r="J269" i="1"/>
  <c r="G259" i="1"/>
  <c r="I204" i="1"/>
  <c r="H204" i="1"/>
  <c r="H248" i="1"/>
  <c r="G226" i="1"/>
  <c r="J259" i="1" l="1"/>
  <c r="J292" i="1"/>
  <c r="J237" i="1"/>
  <c r="J248" i="1"/>
  <c r="J270" i="1"/>
  <c r="L64" i="1"/>
  <c r="J226" i="1"/>
  <c r="J281" i="1"/>
  <c r="J215" i="1"/>
  <c r="J204" i="1"/>
  <c r="K279" i="1"/>
  <c r="K280" i="1"/>
  <c r="K246" i="1"/>
  <c r="K247" i="1"/>
  <c r="K268" i="1"/>
  <c r="M236" i="1"/>
  <c r="M268" i="1"/>
  <c r="K213" i="1"/>
  <c r="K214" i="1"/>
  <c r="L105" i="1"/>
  <c r="M213" i="1"/>
  <c r="M235" i="1"/>
  <c r="M246" i="1"/>
  <c r="M269" i="1"/>
  <c r="M279" i="1"/>
  <c r="L189" i="1"/>
  <c r="K248" i="1" l="1"/>
  <c r="K215" i="1"/>
  <c r="M270" i="1"/>
  <c r="L291" i="1"/>
  <c r="L290" i="1"/>
  <c r="K281" i="1"/>
  <c r="L247" i="1"/>
  <c r="L246" i="1"/>
  <c r="L190" i="1"/>
  <c r="L191" i="1" s="1"/>
  <c r="N168" i="1"/>
  <c r="N169" i="1"/>
  <c r="L168" i="1"/>
  <c r="L169" i="1"/>
  <c r="L147" i="1"/>
  <c r="L148" i="1"/>
  <c r="L126" i="1"/>
  <c r="L127" i="1"/>
  <c r="N105" i="1"/>
  <c r="N106" i="1"/>
  <c r="L106" i="1"/>
  <c r="L107" i="1" s="1"/>
  <c r="L85" i="1"/>
  <c r="L84" i="1"/>
  <c r="L63" i="1"/>
  <c r="L65" i="1" s="1"/>
  <c r="K224" i="1"/>
  <c r="K225" i="1"/>
  <c r="L279" i="1"/>
  <c r="L280" i="1"/>
  <c r="L194" i="1"/>
  <c r="K202" i="1"/>
  <c r="K203" i="1"/>
  <c r="M237" i="1"/>
  <c r="M280" i="1"/>
  <c r="M281" i="1" s="1"/>
  <c r="K235" i="1"/>
  <c r="M247" i="1"/>
  <c r="M248" i="1" s="1"/>
  <c r="K236" i="1"/>
  <c r="K257" i="1"/>
  <c r="K258" i="1"/>
  <c r="L268" i="1"/>
  <c r="L269" i="1"/>
  <c r="M214" i="1"/>
  <c r="M215" i="1" s="1"/>
  <c r="L214" i="1"/>
  <c r="L213" i="1"/>
  <c r="N63" i="1"/>
  <c r="M225" i="1"/>
  <c r="M224" i="1"/>
  <c r="L235" i="1"/>
  <c r="L236" i="1"/>
  <c r="K269" i="1"/>
  <c r="K270" i="1" s="1"/>
  <c r="N190" i="1"/>
  <c r="N280" i="1"/>
  <c r="N268" i="1"/>
  <c r="N236" i="1"/>
  <c r="N107" i="1" l="1"/>
  <c r="K237" i="1"/>
  <c r="K204" i="1"/>
  <c r="N194" i="1"/>
  <c r="N203" i="1" s="1"/>
  <c r="L202" i="1"/>
  <c r="L203" i="1"/>
  <c r="L292" i="1"/>
  <c r="L248" i="1"/>
  <c r="N246" i="1"/>
  <c r="M226" i="1"/>
  <c r="N189" i="1"/>
  <c r="N191" i="1" s="1"/>
  <c r="N247" i="1"/>
  <c r="N235" i="1"/>
  <c r="N237" i="1" s="1"/>
  <c r="L170" i="1"/>
  <c r="L149" i="1"/>
  <c r="L128" i="1"/>
  <c r="N64" i="1"/>
  <c r="N65" i="1" s="1"/>
  <c r="N291" i="1"/>
  <c r="N290" i="1"/>
  <c r="L281" i="1"/>
  <c r="N269" i="1"/>
  <c r="N270" i="1" s="1"/>
  <c r="K259" i="1"/>
  <c r="N170" i="1"/>
  <c r="N147" i="1"/>
  <c r="N148" i="1"/>
  <c r="N126" i="1"/>
  <c r="N127" i="1"/>
  <c r="N84" i="1"/>
  <c r="N85" i="1"/>
  <c r="L86" i="1"/>
  <c r="N21" i="1"/>
  <c r="N22" i="1"/>
  <c r="N225" i="1"/>
  <c r="N224" i="1"/>
  <c r="L225" i="1"/>
  <c r="L224" i="1"/>
  <c r="L257" i="1"/>
  <c r="L258" i="1"/>
  <c r="L237" i="1"/>
  <c r="L270" i="1"/>
  <c r="K226" i="1"/>
  <c r="N258" i="1"/>
  <c r="N257" i="1"/>
  <c r="L215" i="1"/>
  <c r="N214" i="1"/>
  <c r="N213" i="1"/>
  <c r="N279" i="1"/>
  <c r="N281" i="1" s="1"/>
  <c r="N202" i="1" l="1"/>
  <c r="N204" i="1" s="1"/>
  <c r="N248" i="1"/>
  <c r="N128" i="1"/>
  <c r="N292" i="1"/>
  <c r="L226" i="1"/>
  <c r="N86" i="1"/>
  <c r="L204" i="1"/>
  <c r="N149" i="1"/>
  <c r="N23" i="1"/>
  <c r="N215" i="1"/>
  <c r="N226" i="1"/>
  <c r="N259" i="1"/>
  <c r="L259" i="1"/>
  <c r="F44" i="1"/>
  <c r="K24" i="1"/>
  <c r="L24" i="1" s="1"/>
  <c r="L42" i="1" s="1"/>
  <c r="M24" i="1"/>
  <c r="M42" i="1" s="1"/>
  <c r="K43" i="1" l="1"/>
  <c r="K42" i="1"/>
  <c r="M43" i="1"/>
  <c r="M44" i="1" s="1"/>
  <c r="N24" i="1"/>
  <c r="L43" i="1"/>
  <c r="L44" i="1" s="1"/>
  <c r="K44" i="1" l="1"/>
  <c r="N42" i="1"/>
  <c r="N43" i="1"/>
  <c r="N44" i="1" l="1"/>
</calcChain>
</file>

<file path=xl/sharedStrings.xml><?xml version="1.0" encoding="utf-8"?>
<sst xmlns="http://schemas.openxmlformats.org/spreadsheetml/2006/main" count="104" uniqueCount="53">
  <si>
    <r>
      <rPr>
        <b/>
        <sz val="10"/>
        <color theme="1"/>
        <rFont val="仿宋"/>
        <family val="3"/>
        <charset val="134"/>
      </rPr>
      <t>序
号</t>
    </r>
    <phoneticPr fontId="1" type="noConversion"/>
  </si>
  <si>
    <r>
      <rPr>
        <b/>
        <sz val="10"/>
        <color theme="1"/>
        <rFont val="仿宋"/>
        <family val="3"/>
        <charset val="134"/>
      </rPr>
      <t>麸星</t>
    </r>
    <r>
      <rPr>
        <b/>
        <vertAlign val="subscript"/>
        <sz val="10"/>
        <color theme="1"/>
        <rFont val="仿宋"/>
        <family val="3"/>
        <charset val="134"/>
      </rPr>
      <t>平均</t>
    </r>
    <phoneticPr fontId="1" type="noConversion"/>
  </si>
  <si>
    <r>
      <rPr>
        <b/>
        <sz val="10"/>
        <color theme="1"/>
        <rFont val="仿宋"/>
        <family val="3"/>
        <charset val="134"/>
      </rPr>
      <t>麸星</t>
    </r>
    <r>
      <rPr>
        <b/>
        <vertAlign val="subscript"/>
        <sz val="10"/>
        <color theme="1"/>
        <rFont val="仿宋"/>
        <family val="3"/>
        <charset val="134"/>
      </rPr>
      <t>平均</t>
    </r>
    <r>
      <rPr>
        <b/>
        <sz val="10"/>
        <color theme="1"/>
        <rFont val="Arial"/>
        <family val="2"/>
      </rPr>
      <t>*10%-Δ</t>
    </r>
    <r>
      <rPr>
        <b/>
        <sz val="10"/>
        <color theme="1"/>
        <rFont val="仿宋"/>
        <family val="3"/>
        <charset val="134"/>
      </rPr>
      <t>麸星</t>
    </r>
    <phoneticPr fontId="1" type="noConversion"/>
  </si>
  <si>
    <r>
      <rPr>
        <b/>
        <sz val="12"/>
        <color theme="1"/>
        <rFont val="仿宋"/>
        <family val="3"/>
        <charset val="134"/>
      </rPr>
      <t>样品
编号</t>
    </r>
    <phoneticPr fontId="1" type="noConversion"/>
  </si>
  <si>
    <r>
      <rPr>
        <b/>
        <sz val="12"/>
        <color theme="1"/>
        <rFont val="仿宋"/>
        <family val="3"/>
        <charset val="134"/>
      </rPr>
      <t>南
方
特
一
（</t>
    </r>
    <r>
      <rPr>
        <b/>
        <sz val="12"/>
        <color theme="1"/>
        <rFont val="Arial"/>
        <family val="2"/>
      </rPr>
      <t>1</t>
    </r>
    <r>
      <rPr>
        <b/>
        <sz val="12"/>
        <color theme="1"/>
        <rFont val="仿宋"/>
        <family val="3"/>
        <charset val="134"/>
      </rPr>
      <t>）</t>
    </r>
    <phoneticPr fontId="1" type="noConversion"/>
  </si>
  <si>
    <r>
      <rPr>
        <b/>
        <sz val="12"/>
        <color theme="1"/>
        <rFont val="仿宋"/>
        <family val="3"/>
        <charset val="134"/>
      </rPr>
      <t>南
方
特
一
（</t>
    </r>
    <r>
      <rPr>
        <b/>
        <sz val="12"/>
        <color theme="1"/>
        <rFont val="Arial"/>
        <family val="2"/>
      </rPr>
      <t>2</t>
    </r>
    <r>
      <rPr>
        <b/>
        <sz val="12"/>
        <color theme="1"/>
        <rFont val="仿宋"/>
        <family val="3"/>
        <charset val="134"/>
      </rPr>
      <t>）</t>
    </r>
    <phoneticPr fontId="1" type="noConversion"/>
  </si>
  <si>
    <r>
      <rPr>
        <b/>
        <sz val="12"/>
        <color theme="1"/>
        <rFont val="仿宋"/>
        <family val="3"/>
        <charset val="134"/>
      </rPr>
      <t>南
方
特
二
（</t>
    </r>
    <r>
      <rPr>
        <b/>
        <sz val="12"/>
        <color theme="1"/>
        <rFont val="Arial"/>
        <family val="2"/>
      </rPr>
      <t>1</t>
    </r>
    <r>
      <rPr>
        <b/>
        <sz val="12"/>
        <color theme="1"/>
        <rFont val="仿宋"/>
        <family val="3"/>
        <charset val="134"/>
      </rPr>
      <t>）</t>
    </r>
    <phoneticPr fontId="1" type="noConversion"/>
  </si>
  <si>
    <r>
      <rPr>
        <b/>
        <sz val="12"/>
        <color theme="1"/>
        <rFont val="仿宋"/>
        <family val="3"/>
        <charset val="134"/>
      </rPr>
      <t>南
方
特
二
（</t>
    </r>
    <r>
      <rPr>
        <b/>
        <sz val="12"/>
        <color theme="1"/>
        <rFont val="Arial"/>
        <family val="2"/>
      </rPr>
      <t>2</t>
    </r>
    <r>
      <rPr>
        <b/>
        <sz val="12"/>
        <color theme="1"/>
        <rFont val="仿宋"/>
        <family val="3"/>
        <charset val="134"/>
      </rPr>
      <t>）</t>
    </r>
    <phoneticPr fontId="1" type="noConversion"/>
  </si>
  <si>
    <r>
      <rPr>
        <b/>
        <sz val="12"/>
        <color theme="1"/>
        <rFont val="仿宋"/>
        <family val="3"/>
        <charset val="134"/>
      </rPr>
      <t>南方特二
（</t>
    </r>
    <r>
      <rPr>
        <b/>
        <sz val="12"/>
        <color theme="1"/>
        <rFont val="Arial"/>
        <family val="2"/>
      </rPr>
      <t>3</t>
    </r>
    <r>
      <rPr>
        <b/>
        <sz val="12"/>
        <color theme="1"/>
        <rFont val="仿宋"/>
        <family val="3"/>
        <charset val="134"/>
      </rPr>
      <t>）</t>
    </r>
  </si>
  <si>
    <r>
      <t>2016</t>
    </r>
    <r>
      <rPr>
        <b/>
        <sz val="16"/>
        <color theme="1"/>
        <rFont val="仿宋"/>
        <family val="3"/>
        <charset val="134"/>
      </rPr>
      <t>年北方小麦粉标样（备选）测定</t>
    </r>
    <phoneticPr fontId="1" type="noConversion"/>
  </si>
  <si>
    <r>
      <rPr>
        <b/>
        <sz val="16"/>
        <color theme="1"/>
        <rFont val="仿宋"/>
        <family val="3"/>
        <charset val="134"/>
      </rPr>
      <t>重复性检查计算</t>
    </r>
    <phoneticPr fontId="1" type="noConversion"/>
  </si>
  <si>
    <r>
      <t>2016</t>
    </r>
    <r>
      <rPr>
        <b/>
        <sz val="16"/>
        <color theme="1"/>
        <rFont val="仿宋"/>
        <family val="3"/>
        <charset val="134"/>
      </rPr>
      <t>年南方小麦粉标样（备选）测定</t>
    </r>
    <phoneticPr fontId="1" type="noConversion"/>
  </si>
  <si>
    <r>
      <rPr>
        <b/>
        <sz val="16"/>
        <color theme="1"/>
        <rFont val="仿宋"/>
        <family val="3"/>
        <charset val="134"/>
      </rPr>
      <t>重复性检查计算</t>
    </r>
    <phoneticPr fontId="1" type="noConversion"/>
  </si>
  <si>
    <r>
      <rPr>
        <b/>
        <sz val="12"/>
        <color theme="1"/>
        <rFont val="仿宋"/>
        <family val="3"/>
        <charset val="134"/>
      </rPr>
      <t>序
号</t>
    </r>
    <phoneticPr fontId="1" type="noConversion"/>
  </si>
  <si>
    <r>
      <rPr>
        <b/>
        <sz val="12"/>
        <color theme="1"/>
        <rFont val="仿宋"/>
        <family val="3"/>
        <charset val="134"/>
      </rPr>
      <t>样品
编号</t>
    </r>
    <phoneticPr fontId="1" type="noConversion"/>
  </si>
  <si>
    <r>
      <t>L</t>
    </r>
    <r>
      <rPr>
        <b/>
        <vertAlign val="superscript"/>
        <sz val="12"/>
        <color theme="1"/>
        <rFont val="Arial"/>
        <family val="2"/>
      </rPr>
      <t>*</t>
    </r>
    <phoneticPr fontId="1" type="noConversion"/>
  </si>
  <si>
    <r>
      <t>a</t>
    </r>
    <r>
      <rPr>
        <b/>
        <vertAlign val="superscript"/>
        <sz val="12"/>
        <color theme="1"/>
        <rFont val="Arial"/>
        <family val="2"/>
      </rPr>
      <t>*</t>
    </r>
    <phoneticPr fontId="1" type="noConversion"/>
  </si>
  <si>
    <r>
      <t>b</t>
    </r>
    <r>
      <rPr>
        <b/>
        <vertAlign val="superscript"/>
        <sz val="12"/>
        <color theme="1"/>
        <rFont val="Arial"/>
        <family val="2"/>
      </rPr>
      <t>*</t>
    </r>
    <phoneticPr fontId="1" type="noConversion"/>
  </si>
  <si>
    <r>
      <rPr>
        <b/>
        <sz val="12"/>
        <color theme="1"/>
        <rFont val="仿宋"/>
        <family val="3"/>
        <charset val="134"/>
      </rPr>
      <t>麸星含量
（</t>
    </r>
    <r>
      <rPr>
        <b/>
        <sz val="12"/>
        <color theme="1"/>
        <rFont val="Arial"/>
        <family val="2"/>
      </rPr>
      <t>%</t>
    </r>
    <r>
      <rPr>
        <b/>
        <sz val="12"/>
        <color theme="1"/>
        <rFont val="仿宋"/>
        <family val="3"/>
        <charset val="134"/>
      </rPr>
      <t>）</t>
    </r>
    <phoneticPr fontId="1" type="noConversion"/>
  </si>
  <si>
    <r>
      <t>ΔL</t>
    </r>
    <r>
      <rPr>
        <b/>
        <vertAlign val="superscript"/>
        <sz val="12"/>
        <color theme="1"/>
        <rFont val="Arial"/>
        <family val="2"/>
      </rPr>
      <t>*</t>
    </r>
    <phoneticPr fontId="1" type="noConversion"/>
  </si>
  <si>
    <r>
      <t>Δa</t>
    </r>
    <r>
      <rPr>
        <b/>
        <vertAlign val="superscript"/>
        <sz val="12"/>
        <color theme="1"/>
        <rFont val="Arial"/>
        <family val="2"/>
      </rPr>
      <t>*</t>
    </r>
    <phoneticPr fontId="1" type="noConversion"/>
  </si>
  <si>
    <r>
      <t>Δb</t>
    </r>
    <r>
      <rPr>
        <b/>
        <vertAlign val="superscript"/>
        <sz val="12"/>
        <color theme="1"/>
        <rFont val="Arial"/>
        <family val="2"/>
      </rPr>
      <t>*</t>
    </r>
    <phoneticPr fontId="1" type="noConversion"/>
  </si>
  <si>
    <r>
      <t>ΔE</t>
    </r>
    <r>
      <rPr>
        <b/>
        <vertAlign val="superscript"/>
        <sz val="12"/>
        <color theme="1"/>
        <rFont val="Arial"/>
        <family val="2"/>
      </rPr>
      <t>*</t>
    </r>
    <r>
      <rPr>
        <b/>
        <sz val="12"/>
        <color theme="1"/>
        <rFont val="Arial"/>
        <family val="2"/>
      </rPr>
      <t>ab</t>
    </r>
    <phoneticPr fontId="1" type="noConversion"/>
  </si>
  <si>
    <r>
      <rPr>
        <b/>
        <sz val="12"/>
        <color theme="1"/>
        <rFont val="仿宋"/>
        <family val="3"/>
        <charset val="134"/>
      </rPr>
      <t>麸星</t>
    </r>
    <r>
      <rPr>
        <b/>
        <vertAlign val="subscript"/>
        <sz val="12"/>
        <color theme="1"/>
        <rFont val="仿宋"/>
        <family val="3"/>
        <charset val="134"/>
      </rPr>
      <t>平均</t>
    </r>
    <phoneticPr fontId="1" type="noConversion"/>
  </si>
  <si>
    <r>
      <rPr>
        <b/>
        <sz val="12"/>
        <color theme="1"/>
        <rFont val="仿宋"/>
        <family val="3"/>
        <charset val="134"/>
      </rPr>
      <t>麸星</t>
    </r>
    <r>
      <rPr>
        <b/>
        <vertAlign val="subscript"/>
        <sz val="12"/>
        <color theme="1"/>
        <rFont val="仿宋"/>
        <family val="3"/>
        <charset val="134"/>
      </rPr>
      <t>平均</t>
    </r>
    <r>
      <rPr>
        <b/>
        <sz val="12"/>
        <color theme="1"/>
        <rFont val="Arial"/>
        <family val="2"/>
      </rPr>
      <t>*10%</t>
    </r>
    <phoneticPr fontId="1" type="noConversion"/>
  </si>
  <si>
    <r>
      <t>Δ</t>
    </r>
    <r>
      <rPr>
        <b/>
        <sz val="12"/>
        <color theme="1"/>
        <rFont val="仿宋"/>
        <family val="3"/>
        <charset val="134"/>
      </rPr>
      <t>麸星</t>
    </r>
    <phoneticPr fontId="1" type="noConversion"/>
  </si>
  <si>
    <r>
      <rPr>
        <b/>
        <sz val="12"/>
        <color theme="1"/>
        <rFont val="仿宋"/>
        <family val="3"/>
        <charset val="134"/>
      </rPr>
      <t>麸星</t>
    </r>
    <r>
      <rPr>
        <b/>
        <vertAlign val="subscript"/>
        <sz val="12"/>
        <color theme="1"/>
        <rFont val="仿宋"/>
        <family val="3"/>
        <charset val="134"/>
      </rPr>
      <t>平均</t>
    </r>
    <r>
      <rPr>
        <b/>
        <sz val="12"/>
        <color theme="1"/>
        <rFont val="Arial"/>
        <family val="2"/>
      </rPr>
      <t>*10%-Δ</t>
    </r>
    <r>
      <rPr>
        <b/>
        <sz val="12"/>
        <color theme="1"/>
        <rFont val="仿宋"/>
        <family val="3"/>
        <charset val="134"/>
      </rPr>
      <t>麸星</t>
    </r>
    <phoneticPr fontId="1" type="noConversion"/>
  </si>
  <si>
    <r>
      <rPr>
        <b/>
        <sz val="12"/>
        <color theme="1"/>
        <rFont val="仿宋"/>
        <family val="3"/>
        <charset val="134"/>
      </rPr>
      <t>平均值</t>
    </r>
    <phoneticPr fontId="1" type="noConversion"/>
  </si>
  <si>
    <r>
      <rPr>
        <b/>
        <sz val="12"/>
        <color theme="1"/>
        <rFont val="仿宋"/>
        <family val="3"/>
        <charset val="134"/>
      </rPr>
      <t>标准偏差</t>
    </r>
    <phoneticPr fontId="1" type="noConversion"/>
  </si>
  <si>
    <r>
      <rPr>
        <b/>
        <sz val="12"/>
        <color theme="1"/>
        <rFont val="仿宋"/>
        <family val="3"/>
        <charset val="134"/>
      </rPr>
      <t>变异系数（</t>
    </r>
    <r>
      <rPr>
        <b/>
        <sz val="12"/>
        <color theme="1"/>
        <rFont val="Arial"/>
        <family val="2"/>
      </rPr>
      <t>%</t>
    </r>
    <r>
      <rPr>
        <b/>
        <sz val="12"/>
        <color theme="1"/>
        <rFont val="仿宋"/>
        <family val="3"/>
        <charset val="134"/>
      </rPr>
      <t>）</t>
    </r>
    <phoneticPr fontId="1" type="noConversion"/>
  </si>
  <si>
    <r>
      <rPr>
        <b/>
        <sz val="12"/>
        <color theme="1"/>
        <rFont val="仿宋"/>
        <family val="3"/>
        <charset val="134"/>
      </rPr>
      <t>南
方
特
一
（</t>
    </r>
    <r>
      <rPr>
        <b/>
        <sz val="12"/>
        <color theme="1"/>
        <rFont val="Arial"/>
        <family val="2"/>
      </rPr>
      <t>3</t>
    </r>
    <r>
      <rPr>
        <b/>
        <sz val="12"/>
        <color theme="1"/>
        <rFont val="仿宋"/>
        <family val="3"/>
        <charset val="134"/>
      </rPr>
      <t>）</t>
    </r>
    <phoneticPr fontId="1" type="noConversion"/>
  </si>
  <si>
    <r>
      <rPr>
        <b/>
        <sz val="12"/>
        <color theme="1"/>
        <rFont val="仿宋"/>
        <family val="3"/>
        <charset val="134"/>
      </rPr>
      <t>南
方
标
粉
（</t>
    </r>
    <r>
      <rPr>
        <b/>
        <sz val="12"/>
        <color theme="1"/>
        <rFont val="Arial"/>
        <family val="2"/>
      </rPr>
      <t>1</t>
    </r>
    <r>
      <rPr>
        <b/>
        <sz val="12"/>
        <color theme="1"/>
        <rFont val="仿宋"/>
        <family val="3"/>
        <charset val="134"/>
      </rPr>
      <t>）</t>
    </r>
    <phoneticPr fontId="1" type="noConversion"/>
  </si>
  <si>
    <r>
      <rPr>
        <b/>
        <sz val="12"/>
        <color theme="1"/>
        <rFont val="仿宋"/>
        <family val="3"/>
        <charset val="134"/>
      </rPr>
      <t>南
方
标
粉
（</t>
    </r>
    <r>
      <rPr>
        <b/>
        <sz val="12"/>
        <color theme="1"/>
        <rFont val="Arial"/>
        <family val="2"/>
      </rPr>
      <t>2</t>
    </r>
    <r>
      <rPr>
        <b/>
        <sz val="12"/>
        <color theme="1"/>
        <rFont val="仿宋"/>
        <family val="3"/>
        <charset val="134"/>
      </rPr>
      <t>）</t>
    </r>
    <phoneticPr fontId="1" type="noConversion"/>
  </si>
  <si>
    <r>
      <rPr>
        <b/>
        <sz val="12"/>
        <color theme="1"/>
        <rFont val="仿宋"/>
        <family val="3"/>
        <charset val="134"/>
      </rPr>
      <t>南
方
标
粉
（</t>
    </r>
    <r>
      <rPr>
        <b/>
        <sz val="12"/>
        <color theme="1"/>
        <rFont val="Arial"/>
        <family val="2"/>
      </rPr>
      <t>3</t>
    </r>
    <r>
      <rPr>
        <b/>
        <sz val="12"/>
        <color theme="1"/>
        <rFont val="仿宋"/>
        <family val="3"/>
        <charset val="134"/>
      </rPr>
      <t>）</t>
    </r>
    <phoneticPr fontId="1" type="noConversion"/>
  </si>
  <si>
    <r>
      <t>L</t>
    </r>
    <r>
      <rPr>
        <b/>
        <vertAlign val="superscript"/>
        <sz val="10"/>
        <color theme="1"/>
        <rFont val="Arial"/>
        <family val="2"/>
      </rPr>
      <t>*</t>
    </r>
    <phoneticPr fontId="1" type="noConversion"/>
  </si>
  <si>
    <r>
      <t>a</t>
    </r>
    <r>
      <rPr>
        <b/>
        <vertAlign val="superscript"/>
        <sz val="10"/>
        <color theme="1"/>
        <rFont val="Arial"/>
        <family val="2"/>
      </rPr>
      <t>*</t>
    </r>
    <phoneticPr fontId="1" type="noConversion"/>
  </si>
  <si>
    <r>
      <t>b</t>
    </r>
    <r>
      <rPr>
        <b/>
        <vertAlign val="superscript"/>
        <sz val="10"/>
        <color theme="1"/>
        <rFont val="Arial"/>
        <family val="2"/>
      </rPr>
      <t>*</t>
    </r>
    <phoneticPr fontId="1" type="noConversion"/>
  </si>
  <si>
    <r>
      <rPr>
        <b/>
        <sz val="10"/>
        <color theme="1"/>
        <rFont val="仿宋"/>
        <family val="3"/>
        <charset val="134"/>
      </rPr>
      <t>麸星含量
（</t>
    </r>
    <r>
      <rPr>
        <b/>
        <sz val="10"/>
        <color theme="1"/>
        <rFont val="Arial"/>
        <family val="2"/>
      </rPr>
      <t>%</t>
    </r>
    <r>
      <rPr>
        <b/>
        <sz val="10"/>
        <color theme="1"/>
        <rFont val="仿宋"/>
        <family val="3"/>
        <charset val="134"/>
      </rPr>
      <t>）</t>
    </r>
    <phoneticPr fontId="1" type="noConversion"/>
  </si>
  <si>
    <r>
      <t>ΔL</t>
    </r>
    <r>
      <rPr>
        <b/>
        <vertAlign val="superscript"/>
        <sz val="10"/>
        <color theme="1"/>
        <rFont val="Arial"/>
        <family val="2"/>
      </rPr>
      <t>*</t>
    </r>
    <phoneticPr fontId="1" type="noConversion"/>
  </si>
  <si>
    <r>
      <t>Δa</t>
    </r>
    <r>
      <rPr>
        <b/>
        <vertAlign val="superscript"/>
        <sz val="10"/>
        <color theme="1"/>
        <rFont val="Arial"/>
        <family val="2"/>
      </rPr>
      <t>*</t>
    </r>
    <phoneticPr fontId="1" type="noConversion"/>
  </si>
  <si>
    <r>
      <t>Δb</t>
    </r>
    <r>
      <rPr>
        <b/>
        <vertAlign val="superscript"/>
        <sz val="10"/>
        <color theme="1"/>
        <rFont val="Arial"/>
        <family val="2"/>
      </rPr>
      <t>*</t>
    </r>
    <phoneticPr fontId="1" type="noConversion"/>
  </si>
  <si>
    <r>
      <t>ΔE</t>
    </r>
    <r>
      <rPr>
        <b/>
        <vertAlign val="superscript"/>
        <sz val="10"/>
        <color theme="1"/>
        <rFont val="Arial"/>
        <family val="2"/>
      </rPr>
      <t>*</t>
    </r>
    <r>
      <rPr>
        <b/>
        <sz val="10"/>
        <color theme="1"/>
        <rFont val="Arial"/>
        <family val="2"/>
      </rPr>
      <t>ab</t>
    </r>
    <phoneticPr fontId="1" type="noConversion"/>
  </si>
  <si>
    <r>
      <rPr>
        <b/>
        <sz val="10"/>
        <color theme="1"/>
        <rFont val="仿宋"/>
        <family val="3"/>
        <charset val="134"/>
      </rPr>
      <t>麸星</t>
    </r>
    <r>
      <rPr>
        <b/>
        <vertAlign val="subscript"/>
        <sz val="10"/>
        <color theme="1"/>
        <rFont val="仿宋"/>
        <family val="3"/>
        <charset val="134"/>
      </rPr>
      <t>平均</t>
    </r>
    <r>
      <rPr>
        <b/>
        <sz val="10"/>
        <color theme="1"/>
        <rFont val="Arial"/>
        <family val="2"/>
      </rPr>
      <t>*10%</t>
    </r>
    <phoneticPr fontId="1" type="noConversion"/>
  </si>
  <si>
    <r>
      <t>Δ</t>
    </r>
    <r>
      <rPr>
        <b/>
        <sz val="10"/>
        <color theme="1"/>
        <rFont val="仿宋"/>
        <family val="3"/>
        <charset val="134"/>
      </rPr>
      <t>麸星</t>
    </r>
    <phoneticPr fontId="1" type="noConversion"/>
  </si>
  <si>
    <r>
      <rPr>
        <b/>
        <sz val="12"/>
        <color theme="1"/>
        <rFont val="仿宋"/>
        <family val="3"/>
        <charset val="134"/>
      </rPr>
      <t>北
方
特
一
（</t>
    </r>
    <r>
      <rPr>
        <b/>
        <sz val="12"/>
        <color theme="1"/>
        <rFont val="Arial"/>
        <family val="2"/>
      </rPr>
      <t>1</t>
    </r>
    <r>
      <rPr>
        <b/>
        <sz val="12"/>
        <color theme="1"/>
        <rFont val="仿宋"/>
        <family val="3"/>
        <charset val="134"/>
      </rPr>
      <t>）</t>
    </r>
    <phoneticPr fontId="1" type="noConversion"/>
  </si>
  <si>
    <r>
      <rPr>
        <b/>
        <sz val="12"/>
        <color theme="1"/>
        <rFont val="仿宋"/>
        <family val="3"/>
        <charset val="134"/>
      </rPr>
      <t>北
方
特
一
（</t>
    </r>
    <r>
      <rPr>
        <b/>
        <sz val="12"/>
        <color theme="1"/>
        <rFont val="Arial"/>
        <family val="2"/>
      </rPr>
      <t>2</t>
    </r>
    <r>
      <rPr>
        <b/>
        <sz val="12"/>
        <color theme="1"/>
        <rFont val="仿宋"/>
        <family val="3"/>
        <charset val="134"/>
      </rPr>
      <t>）</t>
    </r>
    <phoneticPr fontId="1" type="noConversion"/>
  </si>
  <si>
    <r>
      <rPr>
        <b/>
        <sz val="12"/>
        <color theme="1"/>
        <rFont val="仿宋"/>
        <family val="3"/>
        <charset val="134"/>
      </rPr>
      <t>北
方
特
一
（</t>
    </r>
    <r>
      <rPr>
        <b/>
        <sz val="12"/>
        <color theme="1"/>
        <rFont val="Arial"/>
        <family val="2"/>
      </rPr>
      <t>3</t>
    </r>
    <r>
      <rPr>
        <b/>
        <sz val="12"/>
        <color theme="1"/>
        <rFont val="仿宋"/>
        <family val="3"/>
        <charset val="134"/>
      </rPr>
      <t>）</t>
    </r>
    <phoneticPr fontId="1" type="noConversion"/>
  </si>
  <si>
    <r>
      <rPr>
        <b/>
        <sz val="12"/>
        <color theme="1"/>
        <rFont val="仿宋"/>
        <family val="3"/>
        <charset val="134"/>
      </rPr>
      <t>北
方
特
二
（</t>
    </r>
    <r>
      <rPr>
        <b/>
        <sz val="12"/>
        <color theme="1"/>
        <rFont val="Arial"/>
        <family val="2"/>
      </rPr>
      <t>1</t>
    </r>
    <r>
      <rPr>
        <b/>
        <sz val="12"/>
        <color theme="1"/>
        <rFont val="仿宋"/>
        <family val="3"/>
        <charset val="134"/>
      </rPr>
      <t>）</t>
    </r>
    <phoneticPr fontId="1" type="noConversion"/>
  </si>
  <si>
    <r>
      <rPr>
        <b/>
        <sz val="12"/>
        <color theme="1"/>
        <rFont val="仿宋"/>
        <family val="3"/>
        <charset val="134"/>
      </rPr>
      <t>北
方
特
二
（</t>
    </r>
    <r>
      <rPr>
        <b/>
        <sz val="12"/>
        <color theme="1"/>
        <rFont val="Arial"/>
        <family val="2"/>
      </rPr>
      <t>2</t>
    </r>
    <r>
      <rPr>
        <b/>
        <sz val="12"/>
        <color theme="1"/>
        <rFont val="仿宋"/>
        <family val="3"/>
        <charset val="134"/>
      </rPr>
      <t>）</t>
    </r>
    <phoneticPr fontId="1" type="noConversion"/>
  </si>
  <si>
    <r>
      <rPr>
        <b/>
        <sz val="12"/>
        <color theme="1"/>
        <rFont val="仿宋"/>
        <family val="3"/>
        <charset val="134"/>
      </rPr>
      <t>北
方
特
二
（</t>
    </r>
    <r>
      <rPr>
        <b/>
        <sz val="12"/>
        <color theme="1"/>
        <rFont val="Arial"/>
        <family val="2"/>
      </rPr>
      <t>3</t>
    </r>
    <r>
      <rPr>
        <b/>
        <sz val="12"/>
        <color theme="1"/>
        <rFont val="仿宋"/>
        <family val="3"/>
        <charset val="134"/>
      </rPr>
      <t>）</t>
    </r>
    <phoneticPr fontId="1" type="noConversion"/>
  </si>
  <si>
    <r>
      <rPr>
        <b/>
        <sz val="12"/>
        <color theme="1"/>
        <rFont val="仿宋"/>
        <family val="3"/>
        <charset val="134"/>
      </rPr>
      <t>北
方
标
粉
（</t>
    </r>
    <r>
      <rPr>
        <b/>
        <sz val="12"/>
        <color theme="1"/>
        <rFont val="Arial"/>
        <family val="2"/>
      </rPr>
      <t>1</t>
    </r>
    <r>
      <rPr>
        <b/>
        <sz val="12"/>
        <color theme="1"/>
        <rFont val="仿宋"/>
        <family val="3"/>
        <charset val="134"/>
      </rPr>
      <t>）</t>
    </r>
    <r>
      <rPr>
        <sz val="11"/>
        <color theme="1"/>
        <rFont val="宋体"/>
        <family val="2"/>
        <charset val="134"/>
        <scheme val="minor"/>
      </rPr>
      <t/>
    </r>
    <phoneticPr fontId="1" type="noConversion"/>
  </si>
  <si>
    <r>
      <rPr>
        <b/>
        <sz val="12"/>
        <color theme="1"/>
        <rFont val="仿宋"/>
        <family val="3"/>
        <charset val="134"/>
      </rPr>
      <t>北
方
标
粉
（</t>
    </r>
    <r>
      <rPr>
        <b/>
        <sz val="12"/>
        <color theme="1"/>
        <rFont val="Arial"/>
        <family val="2"/>
      </rPr>
      <t>2</t>
    </r>
    <r>
      <rPr>
        <b/>
        <sz val="12"/>
        <color theme="1"/>
        <rFont val="仿宋"/>
        <family val="3"/>
        <charset val="134"/>
      </rPr>
      <t>）</t>
    </r>
    <r>
      <rPr>
        <sz val="11"/>
        <color theme="1"/>
        <rFont val="宋体"/>
        <family val="2"/>
        <charset val="134"/>
        <scheme val="minor"/>
      </rPr>
      <t/>
    </r>
    <phoneticPr fontId="1" type="noConversion"/>
  </si>
  <si>
    <r>
      <rPr>
        <b/>
        <sz val="12"/>
        <color theme="1"/>
        <rFont val="仿宋"/>
        <family val="3"/>
        <charset val="134"/>
      </rPr>
      <t>北
方
标
粉
（</t>
    </r>
    <r>
      <rPr>
        <b/>
        <sz val="12"/>
        <color theme="1"/>
        <rFont val="Arial"/>
        <family val="2"/>
      </rPr>
      <t>3</t>
    </r>
    <r>
      <rPr>
        <b/>
        <sz val="12"/>
        <color theme="1"/>
        <rFont val="仿宋"/>
        <family val="3"/>
        <charset val="134"/>
      </rPr>
      <t>）</t>
    </r>
    <r>
      <rPr>
        <sz val="11"/>
        <color theme="1"/>
        <rFont val="宋体"/>
        <family val="2"/>
        <charset val="134"/>
        <scheme val="minor"/>
      </rPr>
      <t/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</si>
</sst>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0.00_);[Red]\(0.00\)"/>
    <numFmt numFmtId="177" formatCode="0.00_ "/>
    <numFmt numFmtId="178" formatCode="0.0_ "/>
    <numFmt numFmtId="179" formatCode="0_ "/>
  </numFmts>
  <fonts count="17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仿宋"/>
      <family val="3"/>
      <charset val="134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仿宋"/>
      <family val="3"/>
      <charset val="134"/>
    </font>
    <font>
      <b/>
      <vertAlign val="superscript"/>
      <sz val="10"/>
      <color theme="1"/>
      <name val="Arial"/>
      <family val="2"/>
    </font>
    <font>
      <b/>
      <vertAlign val="subscript"/>
      <sz val="10"/>
      <color theme="1"/>
      <name val="仿宋"/>
      <family val="3"/>
      <charset val="134"/>
    </font>
    <font>
      <b/>
      <vertAlign val="superscript"/>
      <sz val="12"/>
      <color theme="1"/>
      <name val="Arial"/>
      <family val="2"/>
    </font>
    <font>
      <b/>
      <vertAlign val="subscript"/>
      <sz val="12"/>
      <color theme="1"/>
      <name val="仿宋"/>
      <family val="3"/>
      <charset val="134"/>
    </font>
    <font>
      <b/>
      <sz val="16"/>
      <color theme="1"/>
      <name val="Arial"/>
      <family val="2"/>
    </font>
    <font>
      <b/>
      <sz val="16"/>
      <color theme="1"/>
      <name val="仿宋"/>
      <family val="3"/>
      <charset val="134"/>
    </font>
    <font>
      <sz val="1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2" fillId="0" borderId="0" xfId="0" applyFont="1">
      <alignment vertical="center"/>
    </xf>
    <xf numFmtId="0" fontId="6" fillId="0" borderId="0" xfId="0" applyFont="1">
      <alignment vertical="center"/>
    </xf>
    <xf numFmtId="176" fontId="2" fillId="0" borderId="0" xfId="0" applyNumberFormat="1" applyFont="1">
      <alignment vertical="center"/>
    </xf>
    <xf numFmtId="0" fontId="3" fillId="0" borderId="0" xfId="0" applyFont="1">
      <alignment vertical="center"/>
    </xf>
    <xf numFmtId="176" fontId="2" fillId="0" borderId="0" xfId="0" applyNumberFormat="1" applyFont="1" applyAlignment="1">
      <alignment horizontal="right" vertical="center"/>
    </xf>
    <xf numFmtId="176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 wrapText="1"/>
    </xf>
    <xf numFmtId="177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176" fontId="8" fillId="0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79" fontId="7" fillId="0" borderId="1" xfId="0" applyNumberFormat="1" applyFont="1" applyBorder="1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16" fillId="0" borderId="0" xfId="0" applyFont="1">
      <alignment vertical="center"/>
    </xf>
    <xf numFmtId="0" fontId="14" fillId="0" borderId="0" xfId="0" applyFont="1" applyAlignment="1">
      <alignment vertical="center"/>
    </xf>
    <xf numFmtId="0" fontId="16" fillId="0" borderId="0" xfId="0" applyFont="1" applyBorder="1">
      <alignment vertical="center"/>
    </xf>
    <xf numFmtId="176" fontId="7" fillId="0" borderId="1" xfId="0" applyNumberFormat="1" applyFont="1" applyBorder="1" applyAlignment="1">
      <alignment horizontal="center" vertical="center"/>
    </xf>
    <xf numFmtId="177" fontId="7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76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77" fontId="7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7"/>
  <sheetViews>
    <sheetView tabSelected="1" topLeftCell="A145" zoomScaleNormal="100" workbookViewId="0">
      <selection activeCell="F24" sqref="F24"/>
    </sheetView>
  </sheetViews>
  <sheetFormatPr defaultRowHeight="15.75" x14ac:dyDescent="0.15"/>
  <cols>
    <col min="1" max="1" width="4.625" style="13" customWidth="1"/>
    <col min="2" max="2" width="11.5" style="19" customWidth="1"/>
    <col min="3" max="3" width="9.5" style="13" customWidth="1"/>
    <col min="4" max="4" width="8.75" style="14" customWidth="1"/>
    <col min="5" max="5" width="9.125" style="15" customWidth="1"/>
    <col min="6" max="6" width="15.75" style="15" customWidth="1"/>
    <col min="7" max="7" width="8.875" style="15" customWidth="1"/>
    <col min="8" max="8" width="8.5" style="13" bestFit="1" customWidth="1"/>
    <col min="9" max="9" width="9.375" style="13" bestFit="1" customWidth="1"/>
    <col min="10" max="10" width="7.125" style="22" customWidth="1"/>
    <col min="11" max="11" width="9.25" style="15" customWidth="1"/>
    <col min="12" max="12" width="13.875" style="13" customWidth="1"/>
    <col min="13" max="13" width="8.125" style="13" customWidth="1"/>
    <col min="14" max="14" width="20" style="14" customWidth="1"/>
    <col min="15" max="15" width="9" style="3"/>
    <col min="16" max="16384" width="9" style="1"/>
  </cols>
  <sheetData>
    <row r="1" spans="1:15" s="24" customFormat="1" ht="42" customHeight="1" x14ac:dyDescent="0.15">
      <c r="A1" s="48" t="s">
        <v>11</v>
      </c>
      <c r="B1" s="48"/>
      <c r="C1" s="48"/>
      <c r="D1" s="48"/>
      <c r="E1" s="48"/>
      <c r="F1" s="48"/>
      <c r="G1" s="48" t="s">
        <v>12</v>
      </c>
      <c r="H1" s="48"/>
      <c r="I1" s="48"/>
      <c r="J1" s="48"/>
      <c r="K1" s="48"/>
      <c r="L1" s="48"/>
      <c r="M1" s="48"/>
      <c r="N1" s="48"/>
      <c r="O1" s="25"/>
    </row>
    <row r="2" spans="1:15" s="2" customFormat="1" ht="31.5" customHeight="1" x14ac:dyDescent="0.15">
      <c r="A2" s="29" t="s">
        <v>13</v>
      </c>
      <c r="B2" s="29" t="s">
        <v>14</v>
      </c>
      <c r="C2" s="16" t="s">
        <v>15</v>
      </c>
      <c r="D2" s="17" t="s">
        <v>16</v>
      </c>
      <c r="E2" s="16" t="s">
        <v>17</v>
      </c>
      <c r="F2" s="18" t="s">
        <v>18</v>
      </c>
      <c r="G2" s="16" t="s">
        <v>19</v>
      </c>
      <c r="H2" s="30" t="s">
        <v>20</v>
      </c>
      <c r="I2" s="30" t="s">
        <v>21</v>
      </c>
      <c r="J2" s="23" t="s">
        <v>22</v>
      </c>
      <c r="K2" s="19" t="s">
        <v>23</v>
      </c>
      <c r="L2" s="30" t="s">
        <v>24</v>
      </c>
      <c r="M2" s="16" t="s">
        <v>25</v>
      </c>
      <c r="N2" s="17" t="s">
        <v>26</v>
      </c>
    </row>
    <row r="3" spans="1:15" ht="14.25" customHeight="1" x14ac:dyDescent="0.15">
      <c r="A3" s="40">
        <v>1</v>
      </c>
      <c r="B3" s="49" t="s">
        <v>4</v>
      </c>
      <c r="C3" s="27">
        <v>93.1</v>
      </c>
      <c r="D3" s="28">
        <v>-1.1100000000000001</v>
      </c>
      <c r="E3" s="27">
        <v>7.37</v>
      </c>
      <c r="F3" s="27">
        <v>1.03</v>
      </c>
      <c r="G3" s="39">
        <f>ABS(C3-C4)</f>
        <v>5.0000000000011369E-2</v>
      </c>
      <c r="H3" s="39">
        <f t="shared" ref="H3:I3" si="0">ABS(D3-D4)</f>
        <v>1.0000000000000009E-2</v>
      </c>
      <c r="I3" s="39">
        <f t="shared" si="0"/>
        <v>8.0000000000000071E-2</v>
      </c>
      <c r="J3" s="41">
        <f>SQRT(G3*G3+H3*H3+I3*I3)</f>
        <v>9.4868329805057439E-2</v>
      </c>
      <c r="K3" s="39">
        <f>AVERAGE(F3:F4)</f>
        <v>1.0249999999999999</v>
      </c>
      <c r="L3" s="40">
        <f>K3*0.1</f>
        <v>0.10249999999999999</v>
      </c>
      <c r="M3" s="40">
        <f>ABS(F3-F4)</f>
        <v>1.0000000000000009E-2</v>
      </c>
      <c r="N3" s="43">
        <f>L3-M3</f>
        <v>9.2499999999999985E-2</v>
      </c>
      <c r="O3" s="1"/>
    </row>
    <row r="4" spans="1:15" ht="14.25" x14ac:dyDescent="0.15">
      <c r="A4" s="40"/>
      <c r="B4" s="50"/>
      <c r="C4" s="27">
        <v>93.15</v>
      </c>
      <c r="D4" s="28">
        <v>-1.1200000000000001</v>
      </c>
      <c r="E4" s="27">
        <v>7.45</v>
      </c>
      <c r="F4" s="27">
        <v>1.02</v>
      </c>
      <c r="G4" s="40"/>
      <c r="H4" s="40"/>
      <c r="I4" s="40"/>
      <c r="J4" s="42"/>
      <c r="K4" s="40"/>
      <c r="L4" s="40"/>
      <c r="M4" s="40"/>
      <c r="N4" s="43"/>
      <c r="O4" s="1"/>
    </row>
    <row r="5" spans="1:15" ht="14.25" x14ac:dyDescent="0.15">
      <c r="A5" s="40">
        <v>2</v>
      </c>
      <c r="B5" s="50"/>
      <c r="C5" s="27">
        <v>93.15</v>
      </c>
      <c r="D5" s="28">
        <v>-1.1100000000000001</v>
      </c>
      <c r="E5" s="27">
        <v>7.2</v>
      </c>
      <c r="F5" s="27">
        <v>0.87</v>
      </c>
      <c r="G5" s="39">
        <f>ABS(C5-C6)</f>
        <v>4.9999999999997158E-2</v>
      </c>
      <c r="H5" s="39">
        <f t="shared" ref="H5:I5" si="1">ABS(D5-D6)</f>
        <v>2.9999999999999805E-2</v>
      </c>
      <c r="I5" s="39">
        <f t="shared" si="1"/>
        <v>0.30999999999999961</v>
      </c>
      <c r="J5" s="41">
        <f t="shared" ref="J5" si="2">SQRT(G5*G5+H5*H5+I5*I5)</f>
        <v>0.31543620591174926</v>
      </c>
      <c r="K5" s="39">
        <f>AVERAGE(F5:F6)</f>
        <v>0.875</v>
      </c>
      <c r="L5" s="40">
        <f t="shared" ref="L5" si="3">K5*0.1</f>
        <v>8.7500000000000008E-2</v>
      </c>
      <c r="M5" s="40">
        <f t="shared" ref="M5" si="4">ABS(F5-F6)</f>
        <v>1.0000000000000009E-2</v>
      </c>
      <c r="N5" s="43">
        <f t="shared" ref="N5" si="5">L5-M5</f>
        <v>7.7499999999999999E-2</v>
      </c>
      <c r="O5" s="1"/>
    </row>
    <row r="6" spans="1:15" ht="14.25" x14ac:dyDescent="0.15">
      <c r="A6" s="40"/>
      <c r="B6" s="50"/>
      <c r="C6" s="27">
        <v>93.2</v>
      </c>
      <c r="D6" s="28">
        <v>-1.1399999999999999</v>
      </c>
      <c r="E6" s="27">
        <v>7.51</v>
      </c>
      <c r="F6" s="27">
        <v>0.88</v>
      </c>
      <c r="G6" s="40"/>
      <c r="H6" s="40"/>
      <c r="I6" s="40"/>
      <c r="J6" s="42"/>
      <c r="K6" s="40"/>
      <c r="L6" s="40"/>
      <c r="M6" s="40"/>
      <c r="N6" s="43"/>
      <c r="O6" s="1"/>
    </row>
    <row r="7" spans="1:15" ht="14.25" x14ac:dyDescent="0.15">
      <c r="A7" s="40">
        <v>3</v>
      </c>
      <c r="B7" s="50"/>
      <c r="C7" s="27">
        <v>93.2</v>
      </c>
      <c r="D7" s="28">
        <v>-1.1299999999999999</v>
      </c>
      <c r="E7" s="27">
        <v>7.31</v>
      </c>
      <c r="F7" s="27">
        <v>1.04</v>
      </c>
      <c r="G7" s="39">
        <f t="shared" ref="G7" si="6">ABS(C7-C8)</f>
        <v>3.0000000000001137E-2</v>
      </c>
      <c r="H7" s="39">
        <f t="shared" ref="H7" si="7">ABS(D7-D8)</f>
        <v>9.9999999999997868E-3</v>
      </c>
      <c r="I7" s="39">
        <f t="shared" ref="I7" si="8">ABS(E7-E8)</f>
        <v>7.9999999999999183E-2</v>
      </c>
      <c r="J7" s="41">
        <f t="shared" ref="J7" si="9">SQRT(G7*G7+H7*H7+I7*I7)</f>
        <v>8.6023252670425876E-2</v>
      </c>
      <c r="K7" s="39">
        <f t="shared" ref="K7" si="10">AVERAGE(F7:F8)</f>
        <v>1.0150000000000001</v>
      </c>
      <c r="L7" s="40">
        <f t="shared" ref="L7" si="11">K7*0.1</f>
        <v>0.10150000000000002</v>
      </c>
      <c r="M7" s="40">
        <f t="shared" ref="M7" si="12">ABS(F7-F8)</f>
        <v>5.0000000000000044E-2</v>
      </c>
      <c r="N7" s="43">
        <f t="shared" ref="N7" si="13">L7-M7</f>
        <v>5.1499999999999976E-2</v>
      </c>
      <c r="O7" s="1"/>
    </row>
    <row r="8" spans="1:15" ht="14.25" x14ac:dyDescent="0.15">
      <c r="A8" s="40"/>
      <c r="B8" s="50"/>
      <c r="C8" s="27">
        <v>93.17</v>
      </c>
      <c r="D8" s="28">
        <v>-1.1200000000000001</v>
      </c>
      <c r="E8" s="27">
        <v>7.23</v>
      </c>
      <c r="F8" s="27">
        <v>0.99</v>
      </c>
      <c r="G8" s="40"/>
      <c r="H8" s="40"/>
      <c r="I8" s="40"/>
      <c r="J8" s="42"/>
      <c r="K8" s="40"/>
      <c r="L8" s="40"/>
      <c r="M8" s="40"/>
      <c r="N8" s="43"/>
      <c r="O8" s="1"/>
    </row>
    <row r="9" spans="1:15" ht="14.25" x14ac:dyDescent="0.15">
      <c r="A9" s="40">
        <v>4</v>
      </c>
      <c r="B9" s="50"/>
      <c r="C9" s="27">
        <v>92.95</v>
      </c>
      <c r="D9" s="28">
        <v>-1.07</v>
      </c>
      <c r="E9" s="27">
        <v>7.23</v>
      </c>
      <c r="F9" s="27">
        <v>1.02</v>
      </c>
      <c r="G9" s="39">
        <f t="shared" ref="G9" si="14">ABS(C9-C10)</f>
        <v>0.24000000000000909</v>
      </c>
      <c r="H9" s="39">
        <f t="shared" ref="H9" si="15">ABS(D9-D10)</f>
        <v>4.0000000000000036E-2</v>
      </c>
      <c r="I9" s="39">
        <f t="shared" ref="I9" si="16">ABS(E9-E10)</f>
        <v>0.15000000000000036</v>
      </c>
      <c r="J9" s="41">
        <f t="shared" ref="J9" si="17">SQRT(G9*G9+H9*H9+I9*I9)</f>
        <v>0.28583211855913687</v>
      </c>
      <c r="K9" s="39">
        <f t="shared" ref="K9" si="18">AVERAGE(F9:F10)</f>
        <v>1.06</v>
      </c>
      <c r="L9" s="40">
        <f t="shared" ref="L9" si="19">K9*0.1</f>
        <v>0.10600000000000001</v>
      </c>
      <c r="M9" s="40">
        <f t="shared" ref="M9" si="20">ABS(F9-F10)</f>
        <v>8.0000000000000071E-2</v>
      </c>
      <c r="N9" s="43">
        <f t="shared" ref="N9" si="21">L9-M9</f>
        <v>2.599999999999994E-2</v>
      </c>
      <c r="O9" s="1"/>
    </row>
    <row r="10" spans="1:15" ht="14.25" x14ac:dyDescent="0.15">
      <c r="A10" s="40"/>
      <c r="B10" s="50"/>
      <c r="C10" s="27">
        <v>92.71</v>
      </c>
      <c r="D10" s="28">
        <v>-1.03</v>
      </c>
      <c r="E10" s="27">
        <v>7.08</v>
      </c>
      <c r="F10" s="27">
        <v>1.1000000000000001</v>
      </c>
      <c r="G10" s="40"/>
      <c r="H10" s="40"/>
      <c r="I10" s="40"/>
      <c r="J10" s="42"/>
      <c r="K10" s="40"/>
      <c r="L10" s="40"/>
      <c r="M10" s="40"/>
      <c r="N10" s="43"/>
      <c r="O10" s="1"/>
    </row>
    <row r="11" spans="1:15" ht="14.25" x14ac:dyDescent="0.15">
      <c r="A11" s="40">
        <v>5</v>
      </c>
      <c r="B11" s="50"/>
      <c r="C11" s="27">
        <v>92.98</v>
      </c>
      <c r="D11" s="28">
        <v>-1.0900000000000001</v>
      </c>
      <c r="E11" s="27">
        <v>7.27</v>
      </c>
      <c r="F11" s="27">
        <v>1.04</v>
      </c>
      <c r="G11" s="39">
        <f t="shared" ref="G11" si="22">ABS(C11-C12)</f>
        <v>0.25</v>
      </c>
      <c r="H11" s="39">
        <f t="shared" ref="H11" si="23">ABS(D11-D12)</f>
        <v>7.0000000000000062E-2</v>
      </c>
      <c r="I11" s="39">
        <f t="shared" ref="I11" si="24">ABS(E11-E12)</f>
        <v>0.37999999999999989</v>
      </c>
      <c r="J11" s="41">
        <f t="shared" ref="J11" si="25">SQRT(G11*G11+H11*H11+I11*I11)</f>
        <v>0.46021733996015396</v>
      </c>
      <c r="K11" s="39">
        <f t="shared" ref="K11" si="26">AVERAGE(F11:F12)</f>
        <v>1.02</v>
      </c>
      <c r="L11" s="40">
        <f t="shared" ref="L11" si="27">K11*0.1</f>
        <v>0.10200000000000001</v>
      </c>
      <c r="M11" s="40">
        <f t="shared" ref="M11" si="28">ABS(F11-F12)</f>
        <v>4.0000000000000036E-2</v>
      </c>
      <c r="N11" s="43">
        <f t="shared" ref="N11" si="29">L11-M11</f>
        <v>6.1999999999999972E-2</v>
      </c>
      <c r="O11" s="1"/>
    </row>
    <row r="12" spans="1:15" ht="14.25" x14ac:dyDescent="0.15">
      <c r="A12" s="40"/>
      <c r="B12" s="50"/>
      <c r="C12" s="27">
        <v>92.73</v>
      </c>
      <c r="D12" s="28">
        <v>-1.02</v>
      </c>
      <c r="E12" s="27">
        <v>6.89</v>
      </c>
      <c r="F12" s="27">
        <v>1</v>
      </c>
      <c r="G12" s="40"/>
      <c r="H12" s="40"/>
      <c r="I12" s="40"/>
      <c r="J12" s="42"/>
      <c r="K12" s="40"/>
      <c r="L12" s="40"/>
      <c r="M12" s="40"/>
      <c r="N12" s="43"/>
      <c r="O12" s="1"/>
    </row>
    <row r="13" spans="1:15" ht="14.25" x14ac:dyDescent="0.15">
      <c r="A13" s="40">
        <v>6</v>
      </c>
      <c r="B13" s="50"/>
      <c r="C13" s="27">
        <v>92.92</v>
      </c>
      <c r="D13" s="28">
        <v>-1.05</v>
      </c>
      <c r="E13" s="27">
        <v>6.92</v>
      </c>
      <c r="F13" s="27">
        <v>0.99</v>
      </c>
      <c r="G13" s="39">
        <f t="shared" ref="G13" si="30">ABS(C13-C14)</f>
        <v>1.0000000000005116E-2</v>
      </c>
      <c r="H13" s="39">
        <f t="shared" ref="H13" si="31">ABS(D13-D14)</f>
        <v>0</v>
      </c>
      <c r="I13" s="39">
        <f t="shared" ref="I13" si="32">ABS(E13-E14)</f>
        <v>5.9999999999999609E-2</v>
      </c>
      <c r="J13" s="41">
        <f t="shared" ref="J13" si="33">SQRT(G13*G13+H13*H13+I13*I13)</f>
        <v>6.0827625302982649E-2</v>
      </c>
      <c r="K13" s="39">
        <f t="shared" ref="K13" si="34">AVERAGE(F13:F14)</f>
        <v>0.96</v>
      </c>
      <c r="L13" s="40">
        <f t="shared" ref="L13" si="35">K13*0.1</f>
        <v>9.6000000000000002E-2</v>
      </c>
      <c r="M13" s="40">
        <f t="shared" ref="M13" si="36">ABS(F13-F14)</f>
        <v>5.9999999999999942E-2</v>
      </c>
      <c r="N13" s="43">
        <f t="shared" ref="N13" si="37">L13-M13</f>
        <v>3.600000000000006E-2</v>
      </c>
      <c r="O13" s="1"/>
    </row>
    <row r="14" spans="1:15" ht="14.25" x14ac:dyDescent="0.15">
      <c r="A14" s="40"/>
      <c r="B14" s="50"/>
      <c r="C14" s="27">
        <v>92.93</v>
      </c>
      <c r="D14" s="28">
        <v>-1.05</v>
      </c>
      <c r="E14" s="27">
        <v>6.86</v>
      </c>
      <c r="F14" s="27">
        <v>0.93</v>
      </c>
      <c r="G14" s="40"/>
      <c r="H14" s="40"/>
      <c r="I14" s="40"/>
      <c r="J14" s="42"/>
      <c r="K14" s="40"/>
      <c r="L14" s="40"/>
      <c r="M14" s="40"/>
      <c r="N14" s="43"/>
      <c r="O14" s="1"/>
    </row>
    <row r="15" spans="1:15" ht="14.25" x14ac:dyDescent="0.15">
      <c r="A15" s="40">
        <v>7</v>
      </c>
      <c r="B15" s="50"/>
      <c r="C15" s="27">
        <v>92.67</v>
      </c>
      <c r="D15" s="28">
        <v>-1.05</v>
      </c>
      <c r="E15" s="27">
        <v>6.49</v>
      </c>
      <c r="F15" s="27">
        <v>0.87</v>
      </c>
      <c r="G15" s="39">
        <f>ABS(C15-C16)</f>
        <v>0.46999999999999886</v>
      </c>
      <c r="H15" s="39">
        <f t="shared" ref="H15:I15" si="38">ABS(D15-D16)</f>
        <v>8.9999999999999858E-2</v>
      </c>
      <c r="I15" s="39">
        <f t="shared" si="38"/>
        <v>4.9999999999999822E-2</v>
      </c>
      <c r="J15" s="41">
        <f t="shared" ref="J15" si="39">SQRT(G15*G15+H15*H15+I15*I15)</f>
        <v>0.48114446894877516</v>
      </c>
      <c r="K15" s="39">
        <f t="shared" ref="K15" si="40">AVERAGE(F15:F16)</f>
        <v>0.90999999999999992</v>
      </c>
      <c r="L15" s="40">
        <f t="shared" ref="L15" si="41">K15*0.1</f>
        <v>9.0999999999999998E-2</v>
      </c>
      <c r="M15" s="40">
        <f t="shared" ref="M15" si="42">ABS(F15-F16)</f>
        <v>7.999999999999996E-2</v>
      </c>
      <c r="N15" s="43">
        <f t="shared" ref="N15" si="43">L15-M15</f>
        <v>1.1000000000000038E-2</v>
      </c>
      <c r="O15" s="1"/>
    </row>
    <row r="16" spans="1:15" ht="14.25" x14ac:dyDescent="0.15">
      <c r="A16" s="40"/>
      <c r="B16" s="50"/>
      <c r="C16" s="27">
        <v>93.14</v>
      </c>
      <c r="D16" s="28">
        <v>-1.1399999999999999</v>
      </c>
      <c r="E16" s="27">
        <v>6.54</v>
      </c>
      <c r="F16" s="27">
        <v>0.95</v>
      </c>
      <c r="G16" s="40"/>
      <c r="H16" s="40"/>
      <c r="I16" s="40"/>
      <c r="J16" s="42"/>
      <c r="K16" s="40"/>
      <c r="L16" s="40"/>
      <c r="M16" s="40"/>
      <c r="N16" s="43"/>
      <c r="O16" s="1"/>
    </row>
    <row r="17" spans="1:15" ht="14.25" x14ac:dyDescent="0.15">
      <c r="A17" s="40">
        <v>8</v>
      </c>
      <c r="B17" s="50"/>
      <c r="C17" s="27">
        <v>92.67</v>
      </c>
      <c r="D17" s="28">
        <v>-1.05</v>
      </c>
      <c r="E17" s="27">
        <v>6.58</v>
      </c>
      <c r="F17" s="27">
        <v>1.01</v>
      </c>
      <c r="G17" s="39">
        <f t="shared" ref="G17" si="44">ABS(C17-C18)</f>
        <v>0.10000000000000853</v>
      </c>
      <c r="H17" s="39">
        <f t="shared" ref="H17" si="45">ABS(D17-D18)</f>
        <v>2.0000000000000018E-2</v>
      </c>
      <c r="I17" s="39">
        <f t="shared" ref="I17" si="46">ABS(E17-E18)</f>
        <v>0.12000000000000011</v>
      </c>
      <c r="J17" s="41">
        <f t="shared" ref="J17" si="47">SQRT(G17*G17+H17*H17+I17*I17)</f>
        <v>0.15748015748024172</v>
      </c>
      <c r="K17" s="39">
        <f t="shared" ref="K17" si="48">AVERAGE(F17:F18)</f>
        <v>1.04</v>
      </c>
      <c r="L17" s="40">
        <f t="shared" ref="L17" si="49">K17*0.1</f>
        <v>0.10400000000000001</v>
      </c>
      <c r="M17" s="40">
        <f t="shared" ref="M17" si="50">ABS(F17-F18)</f>
        <v>6.0000000000000053E-2</v>
      </c>
      <c r="N17" s="43">
        <f t="shared" ref="N17" si="51">L17-M17</f>
        <v>4.3999999999999956E-2</v>
      </c>
      <c r="O17" s="1"/>
    </row>
    <row r="18" spans="1:15" ht="14.25" x14ac:dyDescent="0.15">
      <c r="A18" s="40"/>
      <c r="B18" s="50"/>
      <c r="C18" s="27">
        <v>92.57</v>
      </c>
      <c r="D18" s="28">
        <v>-1.03</v>
      </c>
      <c r="E18" s="27">
        <v>6.46</v>
      </c>
      <c r="F18" s="27">
        <v>1.07</v>
      </c>
      <c r="G18" s="40"/>
      <c r="H18" s="40"/>
      <c r="I18" s="40"/>
      <c r="J18" s="42"/>
      <c r="K18" s="40"/>
      <c r="L18" s="40"/>
      <c r="M18" s="40"/>
      <c r="N18" s="43"/>
      <c r="O18" s="1"/>
    </row>
    <row r="19" spans="1:15" ht="14.25" x14ac:dyDescent="0.15">
      <c r="A19" s="40">
        <v>9</v>
      </c>
      <c r="B19" s="50"/>
      <c r="C19" s="27">
        <v>93.12</v>
      </c>
      <c r="D19" s="28">
        <v>-1.1499999999999999</v>
      </c>
      <c r="E19" s="27">
        <v>7.55</v>
      </c>
      <c r="F19" s="27">
        <v>1.1299999999999999</v>
      </c>
      <c r="G19" s="39">
        <f t="shared" ref="G19" si="52">ABS(C19-C20)</f>
        <v>7.9999999999998295E-2</v>
      </c>
      <c r="H19" s="39">
        <f t="shared" ref="H19" si="53">ABS(D19-D20)</f>
        <v>0</v>
      </c>
      <c r="I19" s="39">
        <f t="shared" ref="I19" si="54">ABS(E19-E20)</f>
        <v>6.9999999999999396E-2</v>
      </c>
      <c r="J19" s="41">
        <f t="shared" ref="J19" si="55">SQRT(G19*G19+H19*H19+I19*I19)</f>
        <v>0.10630145812734482</v>
      </c>
      <c r="K19" s="39">
        <f t="shared" ref="K19" si="56">AVERAGE(F19:F20)</f>
        <v>1.115</v>
      </c>
      <c r="L19" s="40">
        <f t="shared" ref="L19" si="57">K19*0.1</f>
        <v>0.1115</v>
      </c>
      <c r="M19" s="40">
        <f t="shared" ref="M19" si="58">ABS(F19-F20)</f>
        <v>2.9999999999999805E-2</v>
      </c>
      <c r="N19" s="43">
        <f t="shared" ref="N19" si="59">L19-M19</f>
        <v>8.1500000000000197E-2</v>
      </c>
      <c r="O19" s="1"/>
    </row>
    <row r="20" spans="1:15" ht="14.25" x14ac:dyDescent="0.15">
      <c r="A20" s="40"/>
      <c r="B20" s="51"/>
      <c r="C20" s="27">
        <v>93.2</v>
      </c>
      <c r="D20" s="28">
        <v>-1.1499999999999999</v>
      </c>
      <c r="E20" s="27">
        <v>7.48</v>
      </c>
      <c r="F20" s="27">
        <v>1.1000000000000001</v>
      </c>
      <c r="G20" s="40"/>
      <c r="H20" s="40"/>
      <c r="I20" s="40"/>
      <c r="J20" s="42"/>
      <c r="K20" s="40"/>
      <c r="L20" s="40"/>
      <c r="M20" s="40"/>
      <c r="N20" s="43"/>
      <c r="O20" s="1"/>
    </row>
    <row r="21" spans="1:15" ht="30" customHeight="1" x14ac:dyDescent="0.15">
      <c r="A21" s="37" t="s">
        <v>27</v>
      </c>
      <c r="B21" s="38"/>
      <c r="C21" s="28">
        <f>AVERAGE(C3:C20)</f>
        <v>92.975555555555559</v>
      </c>
      <c r="D21" s="28">
        <f t="shared" ref="D21" si="60">AVERAGE(D3:D20)</f>
        <v>-1.0894444444444444</v>
      </c>
      <c r="E21" s="28">
        <f t="shared" ref="E21" si="61">AVERAGE(E3:E20)</f>
        <v>7.0788888888888888</v>
      </c>
      <c r="F21" s="28">
        <f t="shared" ref="F21" si="62">AVERAGE(F3:F20)</f>
        <v>1.0022222222222221</v>
      </c>
      <c r="G21" s="28">
        <f t="shared" ref="G21" si="63">AVERAGE(G3:G20)</f>
        <v>0.1422222222222255</v>
      </c>
      <c r="H21" s="28">
        <f>AVERAGE(H3:H20)</f>
        <v>2.9999999999999954E-2</v>
      </c>
      <c r="I21" s="28">
        <f t="shared" ref="I21" si="64">AVERAGE(I3:I20)</f>
        <v>0.14444444444444424</v>
      </c>
      <c r="J21" s="28">
        <f t="shared" ref="J21" si="65">AVERAGE(J3:J20)</f>
        <v>0.22757010630731866</v>
      </c>
      <c r="K21" s="28">
        <f t="shared" ref="K21" si="66">AVERAGE(K3:K20)</f>
        <v>1.0022222222222221</v>
      </c>
      <c r="L21" s="28">
        <f t="shared" ref="L21" si="67">AVERAGE(L3:L20)</f>
        <v>0.10022222222222223</v>
      </c>
      <c r="M21" s="28">
        <f t="shared" ref="M21" si="68">AVERAGE(M3:M20)</f>
        <v>4.6666666666666662E-2</v>
      </c>
      <c r="N21" s="28">
        <f t="shared" ref="N21" si="69">AVERAGE(N3:N20)</f>
        <v>5.3555555555555558E-2</v>
      </c>
      <c r="O21" s="1"/>
    </row>
    <row r="22" spans="1:15" ht="30" customHeight="1" x14ac:dyDescent="0.15">
      <c r="A22" s="37" t="s">
        <v>28</v>
      </c>
      <c r="B22" s="38"/>
      <c r="C22" s="28">
        <f>STDEV(C3:C20)</f>
        <v>0.21707201901191508</v>
      </c>
      <c r="D22" s="28">
        <f t="shared" ref="D22:N22" si="70">STDEV(D3:D20)</f>
        <v>4.5564720901698386E-2</v>
      </c>
      <c r="E22" s="28">
        <f t="shared" si="70"/>
        <v>0.36936971577012723</v>
      </c>
      <c r="F22" s="28">
        <f t="shared" si="70"/>
        <v>7.7653495474943851E-2</v>
      </c>
      <c r="G22" s="28">
        <f t="shared" si="70"/>
        <v>0.15056375541425671</v>
      </c>
      <c r="H22" s="28">
        <f t="shared" si="70"/>
        <v>3.1622776601683784E-2</v>
      </c>
      <c r="I22" s="28">
        <f t="shared" si="70"/>
        <v>0.11907047399661172</v>
      </c>
      <c r="J22" s="28">
        <f t="shared" si="70"/>
        <v>0.16378591989144184</v>
      </c>
      <c r="K22" s="28">
        <f t="shared" si="70"/>
        <v>7.4962953813496755E-2</v>
      </c>
      <c r="L22" s="28">
        <f>STDEV(L3:L20)</f>
        <v>7.4962953813496741E-3</v>
      </c>
      <c r="M22" s="28">
        <f t="shared" si="70"/>
        <v>2.6457513110645915E-2</v>
      </c>
      <c r="N22" s="28">
        <f t="shared" si="70"/>
        <v>2.7194260015263882E-2</v>
      </c>
      <c r="O22" s="1"/>
    </row>
    <row r="23" spans="1:15" ht="30" customHeight="1" x14ac:dyDescent="0.15">
      <c r="A23" s="37" t="s">
        <v>29</v>
      </c>
      <c r="B23" s="38"/>
      <c r="C23" s="28">
        <f>C22/C21*100</f>
        <v>0.23347213976280928</v>
      </c>
      <c r="D23" s="28">
        <f t="shared" ref="D23" si="71">D22/D21*100</f>
        <v>-4.1823813168310604</v>
      </c>
      <c r="E23" s="28">
        <f t="shared" ref="E23" si="72">E22/E21*100</f>
        <v>5.2179052612323735</v>
      </c>
      <c r="F23" s="28">
        <f t="shared" ref="F23" si="73">F22/F21*100</f>
        <v>7.7481314775442875</v>
      </c>
      <c r="G23" s="28">
        <f>G22/G21*100</f>
        <v>105.86514052564682</v>
      </c>
      <c r="H23" s="28">
        <f t="shared" ref="H23" si="74">H22/H21*100</f>
        <v>105.40925533894611</v>
      </c>
      <c r="I23" s="28">
        <f t="shared" ref="I23" si="75">I22/I21*100</f>
        <v>82.433405074577465</v>
      </c>
      <c r="J23" s="28">
        <f t="shared" ref="J23" si="76">J22/J21*100</f>
        <v>71.971632192437255</v>
      </c>
      <c r="K23" s="28">
        <f t="shared" ref="K23" si="77">K22/K21*100</f>
        <v>7.4796738838300545</v>
      </c>
      <c r="L23" s="28">
        <f t="shared" ref="L23" si="78">L22/L21*100</f>
        <v>7.4796738838300509</v>
      </c>
      <c r="M23" s="28">
        <f t="shared" ref="M23" si="79">M22/M21*100</f>
        <v>56.694670951384104</v>
      </c>
      <c r="N23" s="28">
        <f t="shared" ref="N23" si="80">N22/N21*100</f>
        <v>50.777663928915963</v>
      </c>
      <c r="O23" s="1"/>
    </row>
    <row r="24" spans="1:15" ht="15" customHeight="1" x14ac:dyDescent="0.15">
      <c r="A24" s="40">
        <v>10</v>
      </c>
      <c r="B24" s="44" t="s">
        <v>5</v>
      </c>
      <c r="C24" s="27">
        <v>92.97</v>
      </c>
      <c r="D24" s="28">
        <v>-1.1000000000000001</v>
      </c>
      <c r="E24" s="27">
        <v>7.37</v>
      </c>
      <c r="F24" s="27">
        <v>1.1000000000000001</v>
      </c>
      <c r="G24" s="39">
        <f t="shared" ref="G24:G89" si="81">ABS(C24-C25)</f>
        <v>3.0000000000001137E-2</v>
      </c>
      <c r="H24" s="39">
        <f t="shared" ref="H24" si="82">ABS(D24-D25)</f>
        <v>3.0000000000000027E-2</v>
      </c>
      <c r="I24" s="39">
        <f t="shared" ref="I24" si="83">ABS(E24-E25)</f>
        <v>4.0000000000000036E-2</v>
      </c>
      <c r="J24" s="41">
        <f>SQRT(G24*G24+H24*H24+I24*I24)</f>
        <v>5.8309518948453626E-2</v>
      </c>
      <c r="K24" s="39">
        <f>AVERAGE(F24:F25)</f>
        <v>1.1000000000000001</v>
      </c>
      <c r="L24" s="40">
        <f>K24*0.1</f>
        <v>0.11000000000000001</v>
      </c>
      <c r="M24" s="40">
        <f>ABS(F24-F25)</f>
        <v>0</v>
      </c>
      <c r="N24" s="43">
        <f>L24-M24</f>
        <v>0.11000000000000001</v>
      </c>
      <c r="O24" s="1"/>
    </row>
    <row r="25" spans="1:15" ht="14.25" x14ac:dyDescent="0.15">
      <c r="A25" s="40"/>
      <c r="B25" s="44"/>
      <c r="C25" s="27">
        <v>92.94</v>
      </c>
      <c r="D25" s="28">
        <v>-1.07</v>
      </c>
      <c r="E25" s="27">
        <v>7.33</v>
      </c>
      <c r="F25" s="27">
        <v>1.1000000000000001</v>
      </c>
      <c r="G25" s="40"/>
      <c r="H25" s="40"/>
      <c r="I25" s="40"/>
      <c r="J25" s="42"/>
      <c r="K25" s="40"/>
      <c r="L25" s="40"/>
      <c r="M25" s="40"/>
      <c r="N25" s="43"/>
      <c r="O25" s="1"/>
    </row>
    <row r="26" spans="1:15" ht="14.25" x14ac:dyDescent="0.15">
      <c r="A26" s="40">
        <v>11</v>
      </c>
      <c r="B26" s="44"/>
      <c r="C26" s="27">
        <v>93.02</v>
      </c>
      <c r="D26" s="28">
        <v>-1.0900000000000001</v>
      </c>
      <c r="E26" s="27">
        <v>7.14</v>
      </c>
      <c r="F26" s="27">
        <v>1.17</v>
      </c>
      <c r="G26" s="39">
        <f t="shared" ref="G26:G91" si="84">ABS(C26-C27)</f>
        <v>2.0000000000010232E-2</v>
      </c>
      <c r="H26" s="39">
        <f t="shared" ref="H26" si="85">ABS(D26-D27)</f>
        <v>1.0000000000000009E-2</v>
      </c>
      <c r="I26" s="39">
        <f t="shared" ref="I26" si="86">ABS(E26-E27)</f>
        <v>9.0000000000000746E-2</v>
      </c>
      <c r="J26" s="41">
        <f t="shared" ref="J26" si="87">SQRT(G26*G26+H26*H26+I26*I26)</f>
        <v>9.2736184954959971E-2</v>
      </c>
      <c r="K26" s="39">
        <f>AVERAGE(F26:F27)</f>
        <v>1.1599999999999999</v>
      </c>
      <c r="L26" s="40">
        <f t="shared" ref="L26" si="88">K26*0.1</f>
        <v>0.11599999999999999</v>
      </c>
      <c r="M26" s="40">
        <f t="shared" ref="M26" si="89">ABS(F26-F27)</f>
        <v>2.0000000000000018E-2</v>
      </c>
      <c r="N26" s="43">
        <f t="shared" ref="N26" si="90">L26-M26</f>
        <v>9.5999999999999974E-2</v>
      </c>
      <c r="O26" s="1"/>
    </row>
    <row r="27" spans="1:15" ht="14.25" x14ac:dyDescent="0.15">
      <c r="A27" s="40"/>
      <c r="B27" s="44"/>
      <c r="C27" s="27">
        <v>93.04</v>
      </c>
      <c r="D27" s="28">
        <v>-1.1000000000000001</v>
      </c>
      <c r="E27" s="27">
        <v>7.23</v>
      </c>
      <c r="F27" s="27">
        <v>1.1499999999999999</v>
      </c>
      <c r="G27" s="40"/>
      <c r="H27" s="40"/>
      <c r="I27" s="40"/>
      <c r="J27" s="42"/>
      <c r="K27" s="40"/>
      <c r="L27" s="40"/>
      <c r="M27" s="40"/>
      <c r="N27" s="43"/>
      <c r="O27" s="1"/>
    </row>
    <row r="28" spans="1:15" ht="14.25" x14ac:dyDescent="0.15">
      <c r="A28" s="40">
        <v>12</v>
      </c>
      <c r="B28" s="44"/>
      <c r="C28" s="27">
        <v>93.09</v>
      </c>
      <c r="D28" s="28">
        <v>-1.1100000000000001</v>
      </c>
      <c r="E28" s="27">
        <v>7.36</v>
      </c>
      <c r="F28" s="27">
        <v>1.03</v>
      </c>
      <c r="G28" s="39">
        <f t="shared" ref="G28:G93" si="91">ABS(C28-C29)</f>
        <v>4.9999999999997158E-2</v>
      </c>
      <c r="H28" s="39">
        <f t="shared" ref="H28" si="92">ABS(D28-D29)</f>
        <v>0</v>
      </c>
      <c r="I28" s="39">
        <f t="shared" ref="I28" si="93">ABS(E28-E29)</f>
        <v>0.17999999999999972</v>
      </c>
      <c r="J28" s="41">
        <f t="shared" ref="J28" si="94">SQRT(G28*G28+H28*H28+I28*I28)</f>
        <v>0.18681541692269302</v>
      </c>
      <c r="K28" s="39">
        <f t="shared" ref="K28" si="95">AVERAGE(F28:F29)</f>
        <v>1.0350000000000001</v>
      </c>
      <c r="L28" s="40">
        <f t="shared" ref="L28" si="96">K28*0.1</f>
        <v>0.10350000000000002</v>
      </c>
      <c r="M28" s="40">
        <f t="shared" ref="M28" si="97">ABS(F28-F29)</f>
        <v>1.0000000000000009E-2</v>
      </c>
      <c r="N28" s="43">
        <f t="shared" ref="N28" si="98">L28-M28</f>
        <v>9.3500000000000014E-2</v>
      </c>
      <c r="O28" s="1"/>
    </row>
    <row r="29" spans="1:15" ht="14.25" x14ac:dyDescent="0.15">
      <c r="A29" s="40"/>
      <c r="B29" s="44"/>
      <c r="C29" s="27">
        <v>93.04</v>
      </c>
      <c r="D29" s="28">
        <v>-1.1100000000000001</v>
      </c>
      <c r="E29" s="27">
        <v>7.54</v>
      </c>
      <c r="F29" s="27">
        <v>1.04</v>
      </c>
      <c r="G29" s="40"/>
      <c r="H29" s="40"/>
      <c r="I29" s="40"/>
      <c r="J29" s="42"/>
      <c r="K29" s="40"/>
      <c r="L29" s="40"/>
      <c r="M29" s="40"/>
      <c r="N29" s="43"/>
      <c r="O29" s="1"/>
    </row>
    <row r="30" spans="1:15" ht="14.25" x14ac:dyDescent="0.15">
      <c r="A30" s="40">
        <v>13</v>
      </c>
      <c r="B30" s="44"/>
      <c r="C30" s="27">
        <v>92.73</v>
      </c>
      <c r="D30" s="28">
        <v>-1.03</v>
      </c>
      <c r="E30" s="27">
        <v>7.11</v>
      </c>
      <c r="F30" s="27">
        <v>1.04</v>
      </c>
      <c r="G30" s="39">
        <f t="shared" ref="G30:G95" si="99">ABS(C30-C31)</f>
        <v>0.10000000000000853</v>
      </c>
      <c r="H30" s="39">
        <f t="shared" ref="H30" si="100">ABS(D30-D31)</f>
        <v>2.0000000000000018E-2</v>
      </c>
      <c r="I30" s="39">
        <f t="shared" ref="I30" si="101">ABS(E30-E31)</f>
        <v>2.9999999999999361E-2</v>
      </c>
      <c r="J30" s="41">
        <f t="shared" ref="J30" si="102">SQRT(G30*G30+H30*H30+I30*I30)</f>
        <v>0.10630145812735434</v>
      </c>
      <c r="K30" s="39">
        <f t="shared" ref="K30" si="103">AVERAGE(F30:F31)</f>
        <v>0.995</v>
      </c>
      <c r="L30" s="40">
        <f t="shared" ref="L30" si="104">K30*0.1</f>
        <v>9.9500000000000005E-2</v>
      </c>
      <c r="M30" s="40">
        <f t="shared" ref="M30" si="105">ABS(F30-F31)</f>
        <v>9.000000000000008E-2</v>
      </c>
      <c r="N30" s="43">
        <f t="shared" ref="N30" si="106">L30-M30</f>
        <v>9.4999999999999252E-3</v>
      </c>
      <c r="O30" s="1"/>
    </row>
    <row r="31" spans="1:15" ht="14.25" x14ac:dyDescent="0.15">
      <c r="A31" s="40"/>
      <c r="B31" s="44"/>
      <c r="C31" s="27">
        <v>92.63</v>
      </c>
      <c r="D31" s="28">
        <v>-1.01</v>
      </c>
      <c r="E31" s="27">
        <v>7.14</v>
      </c>
      <c r="F31" s="27">
        <v>0.95</v>
      </c>
      <c r="G31" s="40"/>
      <c r="H31" s="40"/>
      <c r="I31" s="40"/>
      <c r="J31" s="42"/>
      <c r="K31" s="40"/>
      <c r="L31" s="40"/>
      <c r="M31" s="40"/>
      <c r="N31" s="43"/>
      <c r="O31" s="1"/>
    </row>
    <row r="32" spans="1:15" ht="14.25" x14ac:dyDescent="0.15">
      <c r="A32" s="40">
        <v>14</v>
      </c>
      <c r="B32" s="44"/>
      <c r="C32" s="27">
        <v>93.17</v>
      </c>
      <c r="D32" s="28">
        <v>-1.07</v>
      </c>
      <c r="E32" s="27">
        <v>6.28</v>
      </c>
      <c r="F32" s="27">
        <v>1.0900000000000001</v>
      </c>
      <c r="G32" s="39">
        <f t="shared" ref="G32" si="107">ABS(C32-C33)</f>
        <v>0.32000000000000739</v>
      </c>
      <c r="H32" s="39">
        <f t="shared" ref="H32" si="108">ABS(D32-D33)</f>
        <v>0</v>
      </c>
      <c r="I32" s="39">
        <f t="shared" ref="I32" si="109">ABS(E32-E33)</f>
        <v>1.0000000000000675E-2</v>
      </c>
      <c r="J32" s="41">
        <f t="shared" ref="J32" si="110">SQRT(G32*G32+H32*H32+I32*I32)</f>
        <v>0.32015621187164983</v>
      </c>
      <c r="K32" s="39">
        <f t="shared" ref="K32" si="111">AVERAGE(F32:F33)</f>
        <v>1.0550000000000002</v>
      </c>
      <c r="L32" s="40">
        <f t="shared" ref="L32" si="112">K32*0.1</f>
        <v>0.10550000000000002</v>
      </c>
      <c r="M32" s="40">
        <f t="shared" ref="M32" si="113">ABS(F32-F33)</f>
        <v>7.0000000000000062E-2</v>
      </c>
      <c r="N32" s="43">
        <f t="shared" ref="N32" si="114">L32-M32</f>
        <v>3.5499999999999962E-2</v>
      </c>
      <c r="O32" s="1"/>
    </row>
    <row r="33" spans="1:15" ht="14.25" x14ac:dyDescent="0.15">
      <c r="A33" s="40"/>
      <c r="B33" s="44"/>
      <c r="C33" s="27">
        <v>92.85</v>
      </c>
      <c r="D33" s="28">
        <v>-1.07</v>
      </c>
      <c r="E33" s="27">
        <v>6.27</v>
      </c>
      <c r="F33" s="27">
        <v>1.02</v>
      </c>
      <c r="G33" s="40"/>
      <c r="H33" s="40"/>
      <c r="I33" s="40"/>
      <c r="J33" s="42"/>
      <c r="K33" s="40"/>
      <c r="L33" s="40"/>
      <c r="M33" s="40"/>
      <c r="N33" s="43"/>
      <c r="O33" s="1"/>
    </row>
    <row r="34" spans="1:15" ht="14.25" x14ac:dyDescent="0.15">
      <c r="A34" s="40">
        <v>15</v>
      </c>
      <c r="B34" s="44"/>
      <c r="C34" s="27">
        <v>92.79</v>
      </c>
      <c r="D34" s="28">
        <v>-1.04</v>
      </c>
      <c r="E34" s="27">
        <v>7.12</v>
      </c>
      <c r="F34" s="27">
        <v>0.97</v>
      </c>
      <c r="G34" s="39">
        <f t="shared" ref="G34" si="115">ABS(C34-C35)</f>
        <v>0.27000000000001023</v>
      </c>
      <c r="H34" s="39">
        <f t="shared" ref="H34" si="116">ABS(D34-D35)</f>
        <v>4.0000000000000036E-2</v>
      </c>
      <c r="I34" s="39">
        <f t="shared" ref="I34" si="117">ABS(E34-E35)</f>
        <v>9.9999999999997868E-3</v>
      </c>
      <c r="J34" s="41">
        <f t="shared" ref="J34" si="118">SQRT(G34*G34+H34*H34+I34*I34)</f>
        <v>0.27313000567496337</v>
      </c>
      <c r="K34" s="39">
        <f t="shared" ref="K34" si="119">AVERAGE(F34:F35)</f>
        <v>0.93500000000000005</v>
      </c>
      <c r="L34" s="40">
        <f t="shared" ref="L34" si="120">K34*0.1</f>
        <v>9.3500000000000014E-2</v>
      </c>
      <c r="M34" s="40">
        <f t="shared" ref="M34" si="121">ABS(F34-F35)</f>
        <v>6.9999999999999951E-2</v>
      </c>
      <c r="N34" s="43">
        <f t="shared" ref="N34" si="122">L34-M34</f>
        <v>2.3500000000000063E-2</v>
      </c>
      <c r="O34" s="1"/>
    </row>
    <row r="35" spans="1:15" ht="14.25" x14ac:dyDescent="0.15">
      <c r="A35" s="40"/>
      <c r="B35" s="44"/>
      <c r="C35" s="27">
        <v>92.52</v>
      </c>
      <c r="D35" s="28">
        <v>-1</v>
      </c>
      <c r="E35" s="27">
        <v>7.11</v>
      </c>
      <c r="F35" s="27">
        <v>0.9</v>
      </c>
      <c r="G35" s="40"/>
      <c r="H35" s="40"/>
      <c r="I35" s="40"/>
      <c r="J35" s="42"/>
      <c r="K35" s="40"/>
      <c r="L35" s="40"/>
      <c r="M35" s="40"/>
      <c r="N35" s="43"/>
      <c r="O35" s="1"/>
    </row>
    <row r="36" spans="1:15" ht="14.25" x14ac:dyDescent="0.15">
      <c r="A36" s="40">
        <v>16</v>
      </c>
      <c r="B36" s="44"/>
      <c r="C36" s="27">
        <v>92.54</v>
      </c>
      <c r="D36" s="28">
        <v>-1.04</v>
      </c>
      <c r="E36" s="27">
        <v>6.76</v>
      </c>
      <c r="F36" s="27">
        <v>1.07</v>
      </c>
      <c r="G36" s="39">
        <f t="shared" ref="G36" si="123">ABS(C36-C37)</f>
        <v>0.39000000000000057</v>
      </c>
      <c r="H36" s="39">
        <f t="shared" ref="H36" si="124">ABS(D36-D37)</f>
        <v>8.0000000000000071E-2</v>
      </c>
      <c r="I36" s="39">
        <f t="shared" ref="I36" si="125">ABS(E36-E37)</f>
        <v>7.0000000000000284E-2</v>
      </c>
      <c r="J36" s="41">
        <f t="shared" ref="J36" si="126">SQRT(G36*G36+H36*H36+I36*I36)</f>
        <v>0.40422765862815535</v>
      </c>
      <c r="K36" s="39">
        <f t="shared" ref="K36" si="127">AVERAGE(F36:F37)</f>
        <v>1.04</v>
      </c>
      <c r="L36" s="40">
        <f t="shared" ref="L36" si="128">K36*0.1</f>
        <v>0.10400000000000001</v>
      </c>
      <c r="M36" s="40">
        <f t="shared" ref="M36" si="129">ABS(F36-F37)</f>
        <v>6.0000000000000053E-2</v>
      </c>
      <c r="N36" s="43">
        <f t="shared" ref="N36" si="130">L36-M36</f>
        <v>4.3999999999999956E-2</v>
      </c>
      <c r="O36" s="1"/>
    </row>
    <row r="37" spans="1:15" ht="14.25" x14ac:dyDescent="0.15">
      <c r="A37" s="40"/>
      <c r="B37" s="44"/>
      <c r="C37" s="27">
        <v>92.93</v>
      </c>
      <c r="D37" s="28">
        <v>-1.1200000000000001</v>
      </c>
      <c r="E37" s="27">
        <v>6.83</v>
      </c>
      <c r="F37" s="27">
        <v>1.01</v>
      </c>
      <c r="G37" s="40"/>
      <c r="H37" s="40"/>
      <c r="I37" s="40"/>
      <c r="J37" s="42"/>
      <c r="K37" s="40"/>
      <c r="L37" s="40"/>
      <c r="M37" s="40"/>
      <c r="N37" s="43"/>
      <c r="O37" s="1"/>
    </row>
    <row r="38" spans="1:15" ht="14.25" x14ac:dyDescent="0.15">
      <c r="A38" s="40">
        <v>17</v>
      </c>
      <c r="B38" s="44"/>
      <c r="C38" s="27">
        <v>92.97</v>
      </c>
      <c r="D38" s="28">
        <v>-1.1100000000000001</v>
      </c>
      <c r="E38" s="27">
        <v>6.57</v>
      </c>
      <c r="F38" s="27">
        <v>1.03</v>
      </c>
      <c r="G38" s="39">
        <f t="shared" si="81"/>
        <v>3.0000000000001137E-2</v>
      </c>
      <c r="H38" s="39">
        <f t="shared" ref="H38" si="131">ABS(D38-D39)</f>
        <v>1.0000000000000009E-2</v>
      </c>
      <c r="I38" s="39">
        <f t="shared" ref="I38" si="132">ABS(E38-E39)</f>
        <v>0.12000000000000011</v>
      </c>
      <c r="J38" s="41">
        <f t="shared" ref="J38" si="133">SQRT(G38*G38+H38*H38+I38*I38)</f>
        <v>0.12409673645990894</v>
      </c>
      <c r="K38" s="39">
        <f t="shared" ref="K38" si="134">AVERAGE(F38:F39)</f>
        <v>1.08</v>
      </c>
      <c r="L38" s="40">
        <f t="shared" ref="L38" si="135">K38*0.1</f>
        <v>0.10800000000000001</v>
      </c>
      <c r="M38" s="40">
        <f t="shared" ref="M38" si="136">ABS(F38-F39)</f>
        <v>9.9999999999999867E-2</v>
      </c>
      <c r="N38" s="43">
        <f t="shared" ref="N38" si="137">L38-M38</f>
        <v>8.0000000000001459E-3</v>
      </c>
      <c r="O38" s="1"/>
    </row>
    <row r="39" spans="1:15" ht="14.25" x14ac:dyDescent="0.15">
      <c r="A39" s="40"/>
      <c r="B39" s="44"/>
      <c r="C39" s="27">
        <v>93</v>
      </c>
      <c r="D39" s="28">
        <v>-1.1200000000000001</v>
      </c>
      <c r="E39" s="27">
        <v>6.69</v>
      </c>
      <c r="F39" s="27">
        <v>1.1299999999999999</v>
      </c>
      <c r="G39" s="40"/>
      <c r="H39" s="40"/>
      <c r="I39" s="40"/>
      <c r="J39" s="42"/>
      <c r="K39" s="40"/>
      <c r="L39" s="40"/>
      <c r="M39" s="40"/>
      <c r="N39" s="43"/>
      <c r="O39" s="1"/>
    </row>
    <row r="40" spans="1:15" ht="14.25" x14ac:dyDescent="0.15">
      <c r="A40" s="40">
        <v>18</v>
      </c>
      <c r="B40" s="44"/>
      <c r="C40" s="27">
        <v>92.99</v>
      </c>
      <c r="D40" s="28">
        <v>-1.1299999999999999</v>
      </c>
      <c r="E40" s="27">
        <v>7.74</v>
      </c>
      <c r="F40" s="27">
        <v>1.17</v>
      </c>
      <c r="G40" s="39">
        <f t="shared" si="84"/>
        <v>3.0000000000001137E-2</v>
      </c>
      <c r="H40" s="39">
        <f t="shared" ref="H40" si="138">ABS(D40-D41)</f>
        <v>1.0000000000000009E-2</v>
      </c>
      <c r="I40" s="39">
        <f t="shared" ref="I40" si="139">ABS(E40-E41)</f>
        <v>0.16999999999999993</v>
      </c>
      <c r="J40" s="41">
        <f t="shared" ref="J40" si="140">SQRT(G40*G40+H40*H40+I40*I40)</f>
        <v>0.17291616465790594</v>
      </c>
      <c r="K40" s="39">
        <f t="shared" ref="K40" si="141">AVERAGE(F40:F41)</f>
        <v>1.2050000000000001</v>
      </c>
      <c r="L40" s="40">
        <f t="shared" ref="L40" si="142">K40*0.1</f>
        <v>0.12050000000000001</v>
      </c>
      <c r="M40" s="40">
        <f t="shared" ref="M40" si="143">ABS(F40-F41)</f>
        <v>7.0000000000000062E-2</v>
      </c>
      <c r="N40" s="43">
        <f t="shared" ref="N40" si="144">L40-M40</f>
        <v>5.0499999999999948E-2</v>
      </c>
      <c r="O40" s="1"/>
    </row>
    <row r="41" spans="1:15" ht="14.25" x14ac:dyDescent="0.15">
      <c r="A41" s="40"/>
      <c r="B41" s="44"/>
      <c r="C41" s="27">
        <v>93.02</v>
      </c>
      <c r="D41" s="28">
        <v>-1.1399999999999999</v>
      </c>
      <c r="E41" s="27">
        <v>7.57</v>
      </c>
      <c r="F41" s="27">
        <v>1.24</v>
      </c>
      <c r="G41" s="40"/>
      <c r="H41" s="40"/>
      <c r="I41" s="40"/>
      <c r="J41" s="42"/>
      <c r="K41" s="40"/>
      <c r="L41" s="40"/>
      <c r="M41" s="40"/>
      <c r="N41" s="43"/>
      <c r="O41" s="1"/>
    </row>
    <row r="42" spans="1:15" ht="30" customHeight="1" x14ac:dyDescent="0.15">
      <c r="A42" s="37" t="s">
        <v>27</v>
      </c>
      <c r="B42" s="38"/>
      <c r="C42" s="28">
        <f>AVERAGE(C24:C41)</f>
        <v>92.902222222222221</v>
      </c>
      <c r="D42" s="28">
        <f t="shared" ref="D42" si="145">AVERAGE(D24:D41)</f>
        <v>-1.0811111111111111</v>
      </c>
      <c r="E42" s="28">
        <f>AVERAGE(E24:E41)</f>
        <v>7.0644444444444439</v>
      </c>
      <c r="F42" s="28">
        <f>AVERAGE(F24:F41)</f>
        <v>1.0672222222222221</v>
      </c>
      <c r="G42" s="28">
        <f t="shared" ref="G42" si="146">AVERAGE(G24:G41)</f>
        <v>0.13777777777778194</v>
      </c>
      <c r="H42" s="28">
        <f t="shared" ref="H42" si="147">AVERAGE(H24:H41)</f>
        <v>2.222222222222224E-2</v>
      </c>
      <c r="I42" s="28">
        <f t="shared" ref="I42" si="148">AVERAGE(I24:I41)</f>
        <v>8.0000000000000071E-2</v>
      </c>
      <c r="J42" s="28">
        <f t="shared" ref="J42" si="149">AVERAGE(J24:J41)</f>
        <v>0.1931877062495605</v>
      </c>
      <c r="K42" s="28">
        <f t="shared" ref="K42" si="150">AVERAGE(K24:K41)</f>
        <v>1.0672222222222225</v>
      </c>
      <c r="L42" s="28">
        <f>AVERAGE(L24:L41)</f>
        <v>0.10672222222222223</v>
      </c>
      <c r="M42" s="28">
        <f t="shared" ref="M42" si="151">AVERAGE(M24:M41)</f>
        <v>5.4444444444444455E-2</v>
      </c>
      <c r="N42" s="28">
        <f t="shared" ref="N42" si="152">AVERAGE(N24:N41)</f>
        <v>5.2277777777777777E-2</v>
      </c>
      <c r="O42" s="1"/>
    </row>
    <row r="43" spans="1:15" ht="30" customHeight="1" x14ac:dyDescent="0.15">
      <c r="A43" s="37" t="s">
        <v>28</v>
      </c>
      <c r="B43" s="38"/>
      <c r="C43" s="28">
        <f>STDEV(C24:C41)</f>
        <v>0.18750860546701076</v>
      </c>
      <c r="D43" s="28">
        <f t="shared" ref="D43:N43" si="153">STDEV(D24:D41)</f>
        <v>4.2132688006971626E-2</v>
      </c>
      <c r="E43" s="28">
        <f>STDEV(E24:E41)</f>
        <v>0.4210801547591933</v>
      </c>
      <c r="F43" s="28">
        <f>STDEV(F24:F41)</f>
        <v>8.587306333499431E-2</v>
      </c>
      <c r="G43" s="28">
        <f t="shared" si="153"/>
        <v>0.14669507300671261</v>
      </c>
      <c r="H43" s="28">
        <f t="shared" si="153"/>
        <v>2.5385910352879713E-2</v>
      </c>
      <c r="I43" s="28">
        <f t="shared" si="153"/>
        <v>6.4999999999999961E-2</v>
      </c>
      <c r="J43" s="28">
        <f t="shared" si="153"/>
        <v>0.11624682328257106</v>
      </c>
      <c r="K43" s="28">
        <f t="shared" si="153"/>
        <v>8.1743161453692523E-2</v>
      </c>
      <c r="L43" s="28">
        <f>STDEV(L24:L41)</f>
        <v>8.1743161453692488E-3</v>
      </c>
      <c r="M43" s="28">
        <f t="shared" si="153"/>
        <v>3.5746017649212029E-2</v>
      </c>
      <c r="N43" s="28">
        <f t="shared" si="153"/>
        <v>3.8591701756264182E-2</v>
      </c>
      <c r="O43" s="1"/>
    </row>
    <row r="44" spans="1:15" ht="30" customHeight="1" x14ac:dyDescent="0.15">
      <c r="A44" s="37" t="s">
        <v>29</v>
      </c>
      <c r="B44" s="38"/>
      <c r="C44" s="28">
        <f>C43/C42*100</f>
        <v>0.20183435980518308</v>
      </c>
      <c r="D44" s="28">
        <f t="shared" ref="D44" si="154">D43/D42*100</f>
        <v>-3.8971653860508182</v>
      </c>
      <c r="E44" s="28">
        <f t="shared" ref="E44" si="155">E43/E42*100</f>
        <v>5.9605558238954703</v>
      </c>
      <c r="F44" s="28">
        <f t="shared" ref="F44" si="156">F43/F42*100</f>
        <v>8.0464088497131581</v>
      </c>
      <c r="G44" s="28">
        <f t="shared" ref="G44" si="157">G43/G42*100</f>
        <v>106.47223040809463</v>
      </c>
      <c r="H44" s="28">
        <f t="shared" ref="H44" si="158">H43/H42*100</f>
        <v>114.23659658795862</v>
      </c>
      <c r="I44" s="28">
        <f t="shared" ref="I44" si="159">I43/I42*100</f>
        <v>81.249999999999872</v>
      </c>
      <c r="J44" s="28">
        <f t="shared" ref="J44" si="160">J43/J42*100</f>
        <v>60.172992132534063</v>
      </c>
      <c r="K44" s="28">
        <f t="shared" ref="K44" si="161">K43/K42*100</f>
        <v>7.6594320987322497</v>
      </c>
      <c r="L44" s="28">
        <f t="shared" ref="L44" si="162">L43/L42*100</f>
        <v>7.6594320987322471</v>
      </c>
      <c r="M44" s="28">
        <f t="shared" ref="M44" si="163">M43/M42*100</f>
        <v>65.655950784266977</v>
      </c>
      <c r="N44" s="28">
        <f t="shared" ref="N44" si="164">N43/N42*100</f>
        <v>73.820470947157844</v>
      </c>
      <c r="O44" s="1"/>
    </row>
    <row r="45" spans="1:15" ht="14.25" customHeight="1" x14ac:dyDescent="0.15">
      <c r="A45" s="40">
        <v>19</v>
      </c>
      <c r="B45" s="44" t="s">
        <v>30</v>
      </c>
      <c r="C45" s="27">
        <v>92.93</v>
      </c>
      <c r="D45" s="28">
        <v>-1.0900000000000001</v>
      </c>
      <c r="E45" s="27">
        <v>7.42</v>
      </c>
      <c r="F45" s="27">
        <v>1.19</v>
      </c>
      <c r="G45" s="39">
        <f t="shared" si="91"/>
        <v>0</v>
      </c>
      <c r="H45" s="39">
        <f t="shared" ref="H45" si="165">ABS(D45-D46)</f>
        <v>2.0000000000000018E-2</v>
      </c>
      <c r="I45" s="39">
        <f t="shared" ref="I45" si="166">ABS(E45-E46)</f>
        <v>0.25</v>
      </c>
      <c r="J45" s="41">
        <f>SQRT(G45*G45+H45*H45+I45*I45)</f>
        <v>0.25079872407968906</v>
      </c>
      <c r="K45" s="39">
        <f>AVERAGE(F45:F46)</f>
        <v>1.165</v>
      </c>
      <c r="L45" s="40">
        <f>K45*0.1</f>
        <v>0.11650000000000001</v>
      </c>
      <c r="M45" s="40">
        <f>ABS(F45-F46)</f>
        <v>5.0000000000000044E-2</v>
      </c>
      <c r="N45" s="43">
        <f>L45-M45</f>
        <v>6.6499999999999962E-2</v>
      </c>
      <c r="O45" s="1"/>
    </row>
    <row r="46" spans="1:15" ht="14.25" x14ac:dyDescent="0.15">
      <c r="A46" s="40"/>
      <c r="B46" s="44"/>
      <c r="C46" s="27">
        <v>92.93</v>
      </c>
      <c r="D46" s="28">
        <v>-1.07</v>
      </c>
      <c r="E46" s="27">
        <v>7.17</v>
      </c>
      <c r="F46" s="27">
        <v>1.1399999999999999</v>
      </c>
      <c r="G46" s="40"/>
      <c r="H46" s="40"/>
      <c r="I46" s="40"/>
      <c r="J46" s="42"/>
      <c r="K46" s="40"/>
      <c r="L46" s="40"/>
      <c r="M46" s="40"/>
      <c r="N46" s="43"/>
      <c r="O46" s="1"/>
    </row>
    <row r="47" spans="1:15" ht="14.25" x14ac:dyDescent="0.15">
      <c r="A47" s="40">
        <v>20</v>
      </c>
      <c r="B47" s="44"/>
      <c r="C47" s="27">
        <v>92.93</v>
      </c>
      <c r="D47" s="28">
        <v>-1.07</v>
      </c>
      <c r="E47" s="27">
        <v>7.31</v>
      </c>
      <c r="F47" s="27">
        <v>1.22</v>
      </c>
      <c r="G47" s="39">
        <f t="shared" si="99"/>
        <v>8.99999999999892E-2</v>
      </c>
      <c r="H47" s="39">
        <f t="shared" ref="H47" si="167">ABS(D47-D48)</f>
        <v>2.0000000000000018E-2</v>
      </c>
      <c r="I47" s="39">
        <f t="shared" ref="I47" si="168">ABS(E47-E48)</f>
        <v>0.29000000000000004</v>
      </c>
      <c r="J47" s="41">
        <f t="shared" ref="J47" si="169">SQRT(G47*G47+H47*H47+I47*I47)</f>
        <v>0.30430248109405561</v>
      </c>
      <c r="K47" s="39">
        <f>AVERAGE(F47:F48)</f>
        <v>1.24</v>
      </c>
      <c r="L47" s="40">
        <f t="shared" ref="L47" si="170">K47*0.1</f>
        <v>0.124</v>
      </c>
      <c r="M47" s="40">
        <f t="shared" ref="M47" si="171">ABS(F47-F48)</f>
        <v>4.0000000000000036E-2</v>
      </c>
      <c r="N47" s="43">
        <f t="shared" ref="N47" si="172">L47-M47</f>
        <v>8.3999999999999964E-2</v>
      </c>
      <c r="O47" s="1"/>
    </row>
    <row r="48" spans="1:15" ht="14.25" x14ac:dyDescent="0.15">
      <c r="A48" s="40"/>
      <c r="B48" s="44"/>
      <c r="C48" s="27">
        <v>93.02</v>
      </c>
      <c r="D48" s="28">
        <v>-1.0900000000000001</v>
      </c>
      <c r="E48" s="27">
        <v>7.02</v>
      </c>
      <c r="F48" s="27">
        <v>1.26</v>
      </c>
      <c r="G48" s="40"/>
      <c r="H48" s="40"/>
      <c r="I48" s="40"/>
      <c r="J48" s="42"/>
      <c r="K48" s="40"/>
      <c r="L48" s="40"/>
      <c r="M48" s="40"/>
      <c r="N48" s="43"/>
      <c r="O48" s="1"/>
    </row>
    <row r="49" spans="1:15" ht="14.25" x14ac:dyDescent="0.15">
      <c r="A49" s="40">
        <v>21</v>
      </c>
      <c r="B49" s="44"/>
      <c r="C49" s="27">
        <v>92.99</v>
      </c>
      <c r="D49" s="28">
        <v>-1.1000000000000001</v>
      </c>
      <c r="E49" s="27">
        <v>7.47</v>
      </c>
      <c r="F49" s="27">
        <v>1.1499999999999999</v>
      </c>
      <c r="G49" s="39">
        <f t="shared" ref="G49" si="173">ABS(C49-C50)</f>
        <v>4.9999999999997158E-2</v>
      </c>
      <c r="H49" s="39">
        <f t="shared" ref="H49" si="174">ABS(D49-D50)</f>
        <v>1.0000000000000009E-2</v>
      </c>
      <c r="I49" s="39">
        <f t="shared" ref="I49" si="175">ABS(E49-E50)</f>
        <v>0.16999999999999993</v>
      </c>
      <c r="J49" s="41">
        <f t="shared" ref="J49" si="176">SQRT(G49*G49+H49*H49+I49*I49)</f>
        <v>0.17748239349298761</v>
      </c>
      <c r="K49" s="39">
        <f t="shared" ref="K49" si="177">AVERAGE(F49:F50)</f>
        <v>1.1749999999999998</v>
      </c>
      <c r="L49" s="40">
        <f t="shared" ref="L49" si="178">K49*0.1</f>
        <v>0.11749999999999999</v>
      </c>
      <c r="M49" s="40">
        <f t="shared" ref="M49" si="179">ABS(F49-F50)</f>
        <v>5.0000000000000044E-2</v>
      </c>
      <c r="N49" s="43">
        <f t="shared" ref="N49" si="180">L49-M49</f>
        <v>6.7499999999999949E-2</v>
      </c>
      <c r="O49" s="1"/>
    </row>
    <row r="50" spans="1:15" ht="14.25" x14ac:dyDescent="0.15">
      <c r="A50" s="40"/>
      <c r="B50" s="44"/>
      <c r="C50" s="27">
        <v>92.94</v>
      </c>
      <c r="D50" s="28">
        <v>-1.0900000000000001</v>
      </c>
      <c r="E50" s="27">
        <v>7.3</v>
      </c>
      <c r="F50" s="27">
        <v>1.2</v>
      </c>
      <c r="G50" s="40"/>
      <c r="H50" s="40"/>
      <c r="I50" s="40"/>
      <c r="J50" s="42"/>
      <c r="K50" s="40"/>
      <c r="L50" s="40"/>
      <c r="M50" s="40"/>
      <c r="N50" s="43"/>
      <c r="O50" s="1"/>
    </row>
    <row r="51" spans="1:15" ht="14.25" x14ac:dyDescent="0.15">
      <c r="A51" s="40">
        <v>22</v>
      </c>
      <c r="B51" s="44"/>
      <c r="C51" s="27">
        <v>92.71</v>
      </c>
      <c r="D51" s="28">
        <v>-1.02</v>
      </c>
      <c r="E51" s="27">
        <v>6.97</v>
      </c>
      <c r="F51" s="27">
        <v>1.1100000000000001</v>
      </c>
      <c r="G51" s="39">
        <f t="shared" ref="G51" si="181">ABS(C51-C52)</f>
        <v>0.35999999999999943</v>
      </c>
      <c r="H51" s="39">
        <f t="shared" ref="H51" si="182">ABS(D51-D52)</f>
        <v>0.25</v>
      </c>
      <c r="I51" s="39">
        <f t="shared" ref="I51" si="183">ABS(E51-E52)</f>
        <v>0.10000000000000053</v>
      </c>
      <c r="J51" s="41">
        <f t="shared" ref="J51" si="184">SQRT(G51*G51+H51*H51+I51*I51)</f>
        <v>0.44955533585978014</v>
      </c>
      <c r="K51" s="39">
        <f t="shared" ref="K51" si="185">AVERAGE(F51:F52)</f>
        <v>1.1499999999999999</v>
      </c>
      <c r="L51" s="40">
        <f t="shared" ref="L51" si="186">K51*0.1</f>
        <v>0.11499999999999999</v>
      </c>
      <c r="M51" s="40">
        <f t="shared" ref="M51" si="187">ABS(F51-F52)</f>
        <v>7.9999999999999849E-2</v>
      </c>
      <c r="N51" s="43">
        <f t="shared" ref="N51" si="188">L51-M51</f>
        <v>3.5000000000000142E-2</v>
      </c>
      <c r="O51" s="1"/>
    </row>
    <row r="52" spans="1:15" ht="14.25" x14ac:dyDescent="0.15">
      <c r="A52" s="40"/>
      <c r="B52" s="44"/>
      <c r="C52" s="27">
        <v>93.07</v>
      </c>
      <c r="D52" s="28">
        <v>-1.27</v>
      </c>
      <c r="E52" s="27">
        <v>7.07</v>
      </c>
      <c r="F52" s="27">
        <v>1.19</v>
      </c>
      <c r="G52" s="40"/>
      <c r="H52" s="40"/>
      <c r="I52" s="40"/>
      <c r="J52" s="42"/>
      <c r="K52" s="40"/>
      <c r="L52" s="40"/>
      <c r="M52" s="40"/>
      <c r="N52" s="43"/>
      <c r="O52" s="1"/>
    </row>
    <row r="53" spans="1:15" ht="14.25" x14ac:dyDescent="0.15">
      <c r="A53" s="40">
        <v>23</v>
      </c>
      <c r="B53" s="44"/>
      <c r="C53" s="27">
        <v>92.68</v>
      </c>
      <c r="D53" s="28">
        <v>-1.02</v>
      </c>
      <c r="E53" s="27">
        <v>7.1</v>
      </c>
      <c r="F53" s="27">
        <v>1.05</v>
      </c>
      <c r="G53" s="39">
        <f t="shared" ref="G53" si="189">ABS(C53-C54)</f>
        <v>9.0000000000003411E-2</v>
      </c>
      <c r="H53" s="39">
        <f t="shared" ref="H53" si="190">ABS(D53-D54)</f>
        <v>0</v>
      </c>
      <c r="I53" s="39">
        <f t="shared" ref="I53" si="191">ABS(E53-E54)</f>
        <v>0.32000000000000028</v>
      </c>
      <c r="J53" s="41">
        <f t="shared" ref="J53" si="192">SQRT(G53*G53+H53*H53+I53*I53)</f>
        <v>0.33241540277189441</v>
      </c>
      <c r="K53" s="39">
        <f t="shared" ref="K53" si="193">AVERAGE(F53:F54)</f>
        <v>1.03</v>
      </c>
      <c r="L53" s="40">
        <f t="shared" ref="L53" si="194">K53*0.1</f>
        <v>0.10300000000000001</v>
      </c>
      <c r="M53" s="40">
        <f t="shared" ref="M53" si="195">ABS(F53-F54)</f>
        <v>4.0000000000000036E-2</v>
      </c>
      <c r="N53" s="43">
        <f t="shared" ref="N53" si="196">L53-M53</f>
        <v>6.2999999999999973E-2</v>
      </c>
      <c r="O53" s="1"/>
    </row>
    <row r="54" spans="1:15" ht="14.25" x14ac:dyDescent="0.15">
      <c r="A54" s="40"/>
      <c r="B54" s="44"/>
      <c r="C54" s="27">
        <v>92.59</v>
      </c>
      <c r="D54" s="28">
        <v>-1.02</v>
      </c>
      <c r="E54" s="27">
        <v>7.42</v>
      </c>
      <c r="F54" s="27">
        <v>1.01</v>
      </c>
      <c r="G54" s="40"/>
      <c r="H54" s="40"/>
      <c r="I54" s="40"/>
      <c r="J54" s="42"/>
      <c r="K54" s="40"/>
      <c r="L54" s="40"/>
      <c r="M54" s="40"/>
      <c r="N54" s="43"/>
      <c r="O54" s="1"/>
    </row>
    <row r="55" spans="1:15" ht="14.25" x14ac:dyDescent="0.15">
      <c r="A55" s="40">
        <v>24</v>
      </c>
      <c r="B55" s="44"/>
      <c r="C55" s="27">
        <v>92.25</v>
      </c>
      <c r="D55" s="28">
        <v>-0.95</v>
      </c>
      <c r="E55" s="27">
        <v>7.05</v>
      </c>
      <c r="F55" s="27">
        <v>1.2</v>
      </c>
      <c r="G55" s="39">
        <f t="shared" si="81"/>
        <v>0.51000000000000512</v>
      </c>
      <c r="H55" s="39">
        <f t="shared" ref="H55" si="197">ABS(D55-D56)</f>
        <v>0.10000000000000009</v>
      </c>
      <c r="I55" s="39">
        <f t="shared" ref="I55" si="198">ABS(E55-E56)</f>
        <v>0.21999999999999975</v>
      </c>
      <c r="J55" s="41">
        <f t="shared" ref="J55" si="199">SQRT(G55*G55+H55*H55+I55*I55)</f>
        <v>0.56435804238090304</v>
      </c>
      <c r="K55" s="39">
        <f t="shared" ref="K55" si="200">AVERAGE(F55:F56)</f>
        <v>1.2149999999999999</v>
      </c>
      <c r="L55" s="40">
        <f t="shared" ref="L55" si="201">K55*0.1</f>
        <v>0.1215</v>
      </c>
      <c r="M55" s="40">
        <f t="shared" ref="M55" si="202">ABS(F55-F56)</f>
        <v>3.0000000000000027E-2</v>
      </c>
      <c r="N55" s="43">
        <f t="shared" ref="N55" si="203">L55-M55</f>
        <v>9.149999999999997E-2</v>
      </c>
      <c r="O55" s="1"/>
    </row>
    <row r="56" spans="1:15" ht="14.25" x14ac:dyDescent="0.15">
      <c r="A56" s="40"/>
      <c r="B56" s="44"/>
      <c r="C56" s="27">
        <v>92.76</v>
      </c>
      <c r="D56" s="28">
        <v>-1.05</v>
      </c>
      <c r="E56" s="27">
        <v>7.27</v>
      </c>
      <c r="F56" s="27">
        <v>1.23</v>
      </c>
      <c r="G56" s="40"/>
      <c r="H56" s="40"/>
      <c r="I56" s="40"/>
      <c r="J56" s="42"/>
      <c r="K56" s="40"/>
      <c r="L56" s="40"/>
      <c r="M56" s="40"/>
      <c r="N56" s="43"/>
      <c r="O56" s="1"/>
    </row>
    <row r="57" spans="1:15" ht="14.25" x14ac:dyDescent="0.15">
      <c r="A57" s="40">
        <v>25</v>
      </c>
      <c r="B57" s="44"/>
      <c r="C57" s="27">
        <v>92.85</v>
      </c>
      <c r="D57" s="28">
        <v>-1.0900000000000001</v>
      </c>
      <c r="E57" s="27">
        <v>6.69</v>
      </c>
      <c r="F57" s="27">
        <v>1.19</v>
      </c>
      <c r="G57" s="39">
        <f t="shared" si="84"/>
        <v>0.31999999999999318</v>
      </c>
      <c r="H57" s="39">
        <f t="shared" ref="H57" si="204">ABS(D57-D58)</f>
        <v>5.0000000000000044E-2</v>
      </c>
      <c r="I57" s="39">
        <f t="shared" ref="I57" si="205">ABS(E57-E58)</f>
        <v>7.9999999999999183E-2</v>
      </c>
      <c r="J57" s="41">
        <f t="shared" ref="J57" si="206">SQRT(G57*G57+H57*H57+I57*I57)</f>
        <v>0.33361654635223881</v>
      </c>
      <c r="K57" s="39">
        <f t="shared" ref="K57" si="207">AVERAGE(F57:F58)</f>
        <v>1.1949999999999998</v>
      </c>
      <c r="L57" s="40">
        <f t="shared" ref="L57" si="208">K57*0.1</f>
        <v>0.1195</v>
      </c>
      <c r="M57" s="40">
        <f t="shared" ref="M57" si="209">ABS(F57-F58)</f>
        <v>1.0000000000000009E-2</v>
      </c>
      <c r="N57" s="43">
        <f t="shared" ref="N57" si="210">L57-M57</f>
        <v>0.10949999999999999</v>
      </c>
      <c r="O57" s="1"/>
    </row>
    <row r="58" spans="1:15" ht="14.25" x14ac:dyDescent="0.15">
      <c r="A58" s="40"/>
      <c r="B58" s="44"/>
      <c r="C58" s="27">
        <v>92.53</v>
      </c>
      <c r="D58" s="28">
        <v>-1.04</v>
      </c>
      <c r="E58" s="27">
        <v>6.77</v>
      </c>
      <c r="F58" s="27">
        <v>1.2</v>
      </c>
      <c r="G58" s="40"/>
      <c r="H58" s="40"/>
      <c r="I58" s="40"/>
      <c r="J58" s="42"/>
      <c r="K58" s="40"/>
      <c r="L58" s="40"/>
      <c r="M58" s="40"/>
      <c r="N58" s="43"/>
      <c r="O58" s="1"/>
    </row>
    <row r="59" spans="1:15" ht="14.25" x14ac:dyDescent="0.15">
      <c r="A59" s="40">
        <v>26</v>
      </c>
      <c r="B59" s="44"/>
      <c r="C59" s="27">
        <v>92.57</v>
      </c>
      <c r="D59" s="28">
        <v>-1.04</v>
      </c>
      <c r="E59" s="27">
        <v>6.67</v>
      </c>
      <c r="F59" s="27">
        <v>1.1399999999999999</v>
      </c>
      <c r="G59" s="39">
        <f t="shared" si="91"/>
        <v>0.40000000000000568</v>
      </c>
      <c r="H59" s="39">
        <f t="shared" ref="H59" si="211">ABS(D59-D60)</f>
        <v>8.0000000000000071E-2</v>
      </c>
      <c r="I59" s="39">
        <f t="shared" ref="I59" si="212">ABS(E59-E60)</f>
        <v>8.0000000000000071E-2</v>
      </c>
      <c r="J59" s="41">
        <f t="shared" ref="J59" si="213">SQRT(G59*G59+H59*H59+I59*I59)</f>
        <v>0.41569219381653605</v>
      </c>
      <c r="K59" s="39">
        <f t="shared" ref="K59" si="214">AVERAGE(F59:F60)</f>
        <v>1.1549999999999998</v>
      </c>
      <c r="L59" s="40">
        <f t="shared" ref="L59" si="215">K59*0.1</f>
        <v>0.11549999999999999</v>
      </c>
      <c r="M59" s="40">
        <f t="shared" ref="M59" si="216">ABS(F59-F60)</f>
        <v>3.0000000000000027E-2</v>
      </c>
      <c r="N59" s="43">
        <f t="shared" ref="N59" si="217">L59-M59</f>
        <v>8.5499999999999965E-2</v>
      </c>
      <c r="O59" s="1"/>
    </row>
    <row r="60" spans="1:15" ht="14.25" x14ac:dyDescent="0.15">
      <c r="A60" s="40"/>
      <c r="B60" s="44"/>
      <c r="C60" s="27">
        <v>92.97</v>
      </c>
      <c r="D60" s="28">
        <v>-1.1200000000000001</v>
      </c>
      <c r="E60" s="27">
        <v>6.75</v>
      </c>
      <c r="F60" s="27">
        <v>1.17</v>
      </c>
      <c r="G60" s="40"/>
      <c r="H60" s="40"/>
      <c r="I60" s="40"/>
      <c r="J60" s="42"/>
      <c r="K60" s="40"/>
      <c r="L60" s="40"/>
      <c r="M60" s="40"/>
      <c r="N60" s="43"/>
      <c r="O60" s="1"/>
    </row>
    <row r="61" spans="1:15" ht="14.25" x14ac:dyDescent="0.15">
      <c r="A61" s="40">
        <v>27</v>
      </c>
      <c r="B61" s="44"/>
      <c r="C61" s="27">
        <v>92.89</v>
      </c>
      <c r="D61" s="28">
        <v>-1.1200000000000001</v>
      </c>
      <c r="E61" s="27">
        <v>7.65</v>
      </c>
      <c r="F61" s="27">
        <v>1.1499999999999999</v>
      </c>
      <c r="G61" s="39">
        <f t="shared" si="99"/>
        <v>0.12000000000000455</v>
      </c>
      <c r="H61" s="39">
        <f t="shared" ref="H61" si="218">ABS(D61-D62)</f>
        <v>0</v>
      </c>
      <c r="I61" s="39">
        <f t="shared" ref="I61" si="219">ABS(E61-E62)</f>
        <v>0.23000000000000043</v>
      </c>
      <c r="J61" s="41">
        <f t="shared" ref="J61" si="220">SQRT(G61*G61+H61*H61+I61*I61)</f>
        <v>0.25942243542145943</v>
      </c>
      <c r="K61" s="39">
        <f t="shared" ref="K61" si="221">AVERAGE(F61:F62)</f>
        <v>1.2149999999999999</v>
      </c>
      <c r="L61" s="40">
        <f t="shared" ref="L61" si="222">K61*0.1</f>
        <v>0.1215</v>
      </c>
      <c r="M61" s="40">
        <f t="shared" ref="M61" si="223">ABS(F61-F62)</f>
        <v>0.13000000000000012</v>
      </c>
      <c r="N61" s="43">
        <f t="shared" ref="N61" si="224">L61-M61</f>
        <v>-8.5000000000001186E-3</v>
      </c>
      <c r="O61" s="1"/>
    </row>
    <row r="62" spans="1:15" ht="14.25" x14ac:dyDescent="0.15">
      <c r="A62" s="40"/>
      <c r="B62" s="44"/>
      <c r="C62" s="27">
        <v>93.01</v>
      </c>
      <c r="D62" s="28">
        <v>-1.1200000000000001</v>
      </c>
      <c r="E62" s="27">
        <v>7.42</v>
      </c>
      <c r="F62" s="27">
        <v>1.28</v>
      </c>
      <c r="G62" s="40"/>
      <c r="H62" s="40"/>
      <c r="I62" s="40"/>
      <c r="J62" s="42"/>
      <c r="K62" s="40"/>
      <c r="L62" s="40"/>
      <c r="M62" s="40"/>
      <c r="N62" s="43"/>
      <c r="O62" s="1"/>
    </row>
    <row r="63" spans="1:15" ht="30" customHeight="1" x14ac:dyDescent="0.15">
      <c r="A63" s="37" t="s">
        <v>27</v>
      </c>
      <c r="B63" s="38"/>
      <c r="C63" s="28">
        <f>AVERAGE(C45:C62)</f>
        <v>92.812222222222232</v>
      </c>
      <c r="D63" s="28">
        <f t="shared" ref="D63" si="225">AVERAGE(D45:D62)</f>
        <v>-1.0761111111111112</v>
      </c>
      <c r="E63" s="28">
        <f t="shared" ref="E63" si="226">AVERAGE(E45:E62)</f>
        <v>7.1399999999999988</v>
      </c>
      <c r="F63" s="28">
        <f t="shared" ref="F63" si="227">AVERAGE(F45:F62)</f>
        <v>1.171111111111111</v>
      </c>
      <c r="G63" s="28">
        <f>AVERAGE(G45:G62)</f>
        <v>0.21555555555555531</v>
      </c>
      <c r="H63" s="28">
        <f t="shared" ref="H63" si="228">AVERAGE(H45:H62)</f>
        <v>5.8888888888888914E-2</v>
      </c>
      <c r="I63" s="28">
        <f t="shared" ref="I63" si="229">AVERAGE(I45:I62)</f>
        <v>0.19333333333333336</v>
      </c>
      <c r="J63" s="28">
        <f t="shared" ref="J63" si="230">AVERAGE(J45:J62)</f>
        <v>0.34307150614106052</v>
      </c>
      <c r="K63" s="28">
        <f t="shared" ref="K63" si="231">AVERAGE(K45:K62)</f>
        <v>1.171111111111111</v>
      </c>
      <c r="L63" s="28">
        <f>AVERAGE(L45:L62)</f>
        <v>0.1171111111111111</v>
      </c>
      <c r="M63" s="28">
        <f t="shared" ref="M63" si="232">AVERAGE(M45:M62)</f>
        <v>5.1111111111111135E-2</v>
      </c>
      <c r="N63" s="28">
        <f t="shared" ref="N63" si="233">AVERAGE(N45:N62)</f>
        <v>6.5999999999999961E-2</v>
      </c>
      <c r="O63" s="1"/>
    </row>
    <row r="64" spans="1:15" ht="30" customHeight="1" x14ac:dyDescent="0.15">
      <c r="A64" s="37" t="s">
        <v>28</v>
      </c>
      <c r="B64" s="38"/>
      <c r="C64" s="28">
        <f>STDEV(C45:C62)</f>
        <v>0.21762232680536922</v>
      </c>
      <c r="D64" s="28">
        <f t="shared" ref="D64:N64" si="234">STDEV(D45:D62)</f>
        <v>6.5721237402772914E-2</v>
      </c>
      <c r="E64" s="28">
        <f t="shared" si="234"/>
        <v>0.29172912496516556</v>
      </c>
      <c r="F64" s="28">
        <f t="shared" si="234"/>
        <v>6.7028430218201734E-2</v>
      </c>
      <c r="G64" s="28">
        <f>STDEV(G45:G62)</f>
        <v>0.18269586141393149</v>
      </c>
      <c r="H64" s="28">
        <f t="shared" si="234"/>
        <v>7.9913147298245696E-2</v>
      </c>
      <c r="I64" s="28">
        <f t="shared" si="234"/>
        <v>9.055385138137427E-2</v>
      </c>
      <c r="J64" s="28">
        <f t="shared" si="234"/>
        <v>0.11737625136017898</v>
      </c>
      <c r="K64" s="28">
        <f t="shared" si="234"/>
        <v>6.1072588868584139E-2</v>
      </c>
      <c r="L64" s="28">
        <f>STDEV(L45:L62)</f>
        <v>6.1072588868584157E-3</v>
      </c>
      <c r="M64" s="28">
        <f t="shared" si="234"/>
        <v>3.5158371849548321E-2</v>
      </c>
      <c r="N64" s="28">
        <f t="shared" si="234"/>
        <v>3.4945493271665282E-2</v>
      </c>
      <c r="O64" s="1"/>
    </row>
    <row r="65" spans="1:15" ht="30" customHeight="1" x14ac:dyDescent="0.15">
      <c r="A65" s="37" t="s">
        <v>29</v>
      </c>
      <c r="B65" s="38"/>
      <c r="C65" s="28">
        <f>C64/C63*100</f>
        <v>0.23447593602953665</v>
      </c>
      <c r="D65" s="28">
        <f t="shared" ref="D65" si="235">D64/D63*100</f>
        <v>-6.1072910338147253</v>
      </c>
      <c r="E65" s="28">
        <f t="shared" ref="E65" si="236">E64/E63*100</f>
        <v>4.0858420863468572</v>
      </c>
      <c r="F65" s="28">
        <f t="shared" ref="F65" si="237">F64/F63*100</f>
        <v>5.723490246336012</v>
      </c>
      <c r="G65" s="28">
        <f t="shared" ref="G65" si="238">G64/G63*100</f>
        <v>84.755811996153881</v>
      </c>
      <c r="H65" s="28">
        <f t="shared" ref="H65" si="239">H64/H63*100</f>
        <v>135.70157088381339</v>
      </c>
      <c r="I65" s="28">
        <f t="shared" ref="I65" si="240">I64/I63*100</f>
        <v>46.838198990365996</v>
      </c>
      <c r="J65" s="28">
        <f t="shared" ref="J65" si="241">J64/J63*100</f>
        <v>34.213348896401044</v>
      </c>
      <c r="K65" s="28">
        <f t="shared" ref="K65" si="242">K64/K63*100</f>
        <v>5.2149269432377352</v>
      </c>
      <c r="L65" s="28">
        <f t="shared" ref="L65" si="243">L64/L63*100</f>
        <v>5.214926943237737</v>
      </c>
      <c r="M65" s="28">
        <f t="shared" ref="M65" si="244">M64/M63*100</f>
        <v>68.788118836072769</v>
      </c>
      <c r="N65" s="28">
        <f t="shared" ref="N65" si="245">N64/N63*100</f>
        <v>52.947717078280768</v>
      </c>
      <c r="O65" s="1"/>
    </row>
    <row r="66" spans="1:15" ht="14.25" customHeight="1" x14ac:dyDescent="0.15">
      <c r="A66" s="40">
        <v>28</v>
      </c>
      <c r="B66" s="44" t="s">
        <v>6</v>
      </c>
      <c r="C66" s="27">
        <v>92.78</v>
      </c>
      <c r="D66" s="28">
        <v>-1.05</v>
      </c>
      <c r="E66" s="27">
        <v>7.29</v>
      </c>
      <c r="F66" s="27">
        <v>1.29</v>
      </c>
      <c r="G66" s="39">
        <f t="shared" ref="G66" si="246">ABS(C66-C67)</f>
        <v>4.9999999999997158E-2</v>
      </c>
      <c r="H66" s="39">
        <f t="shared" ref="H66" si="247">ABS(D66-D67)</f>
        <v>0</v>
      </c>
      <c r="I66" s="39">
        <f t="shared" ref="I66" si="248">ABS(E66-E67)</f>
        <v>8.0000000000000071E-2</v>
      </c>
      <c r="J66" s="41">
        <f>SQRT(G66*G66+H66*H66+I66*I66)</f>
        <v>9.4339811320564598E-2</v>
      </c>
      <c r="K66" s="39">
        <f>AVERAGE(F66:F67)</f>
        <v>1.3050000000000002</v>
      </c>
      <c r="L66" s="40">
        <f>K66*0.1</f>
        <v>0.13050000000000003</v>
      </c>
      <c r="M66" s="40">
        <f>ABS(F66-F67)</f>
        <v>3.0000000000000027E-2</v>
      </c>
      <c r="N66" s="43">
        <f>L66-M66</f>
        <v>0.10050000000000001</v>
      </c>
      <c r="O66" s="1"/>
    </row>
    <row r="67" spans="1:15" ht="14.25" x14ac:dyDescent="0.15">
      <c r="A67" s="40"/>
      <c r="B67" s="44"/>
      <c r="C67" s="27">
        <v>92.73</v>
      </c>
      <c r="D67" s="28">
        <v>-1.05</v>
      </c>
      <c r="E67" s="27">
        <v>7.37</v>
      </c>
      <c r="F67" s="27">
        <v>1.32</v>
      </c>
      <c r="G67" s="40"/>
      <c r="H67" s="40"/>
      <c r="I67" s="40"/>
      <c r="J67" s="42"/>
      <c r="K67" s="40"/>
      <c r="L67" s="40"/>
      <c r="M67" s="40"/>
      <c r="N67" s="43"/>
      <c r="O67" s="1"/>
    </row>
    <row r="68" spans="1:15" ht="14.25" x14ac:dyDescent="0.15">
      <c r="A68" s="40">
        <v>29</v>
      </c>
      <c r="B68" s="44"/>
      <c r="C68" s="27">
        <v>92.78</v>
      </c>
      <c r="D68" s="28">
        <v>-1.05</v>
      </c>
      <c r="E68" s="27">
        <v>7.25</v>
      </c>
      <c r="F68" s="27">
        <v>1.19</v>
      </c>
      <c r="G68" s="39">
        <f t="shared" ref="G68" si="249">ABS(C68-C69)</f>
        <v>6.0000000000002274E-2</v>
      </c>
      <c r="H68" s="39">
        <f t="shared" ref="H68" si="250">ABS(D68-D69)</f>
        <v>2.0000000000000018E-2</v>
      </c>
      <c r="I68" s="39">
        <f t="shared" ref="I68" si="251">ABS(E68-E69)</f>
        <v>0.16000000000000014</v>
      </c>
      <c r="J68" s="41">
        <f t="shared" ref="J68" si="252">SQRT(G68*G68+H68*H68+I68*I68)</f>
        <v>0.17204650534085347</v>
      </c>
      <c r="K68" s="39">
        <f>AVERAGE(F68:F69)</f>
        <v>1.2050000000000001</v>
      </c>
      <c r="L68" s="40">
        <f t="shared" ref="L68" si="253">K68*0.1</f>
        <v>0.12050000000000001</v>
      </c>
      <c r="M68" s="40">
        <f t="shared" ref="M68" si="254">ABS(F68-F69)</f>
        <v>3.0000000000000027E-2</v>
      </c>
      <c r="N68" s="43">
        <f t="shared" ref="N68" si="255">L68-M68</f>
        <v>9.0499999999999983E-2</v>
      </c>
      <c r="O68" s="1"/>
    </row>
    <row r="69" spans="1:15" ht="14.25" x14ac:dyDescent="0.15">
      <c r="A69" s="40"/>
      <c r="B69" s="44"/>
      <c r="C69" s="27">
        <v>92.84</v>
      </c>
      <c r="D69" s="28">
        <v>-1.07</v>
      </c>
      <c r="E69" s="27">
        <v>7.41</v>
      </c>
      <c r="F69" s="27">
        <v>1.22</v>
      </c>
      <c r="G69" s="40"/>
      <c r="H69" s="40"/>
      <c r="I69" s="40"/>
      <c r="J69" s="42"/>
      <c r="K69" s="40"/>
      <c r="L69" s="40"/>
      <c r="M69" s="40"/>
      <c r="N69" s="43"/>
      <c r="O69" s="1"/>
    </row>
    <row r="70" spans="1:15" ht="14.25" x14ac:dyDescent="0.15">
      <c r="A70" s="40">
        <v>30</v>
      </c>
      <c r="B70" s="44"/>
      <c r="C70" s="27">
        <v>92.68</v>
      </c>
      <c r="D70" s="28">
        <v>-1.05</v>
      </c>
      <c r="E70" s="27">
        <v>7.36</v>
      </c>
      <c r="F70" s="27">
        <v>1.41</v>
      </c>
      <c r="G70" s="39">
        <f t="shared" ref="G70" si="256">ABS(C70-C71)</f>
        <v>0.10999999999999943</v>
      </c>
      <c r="H70" s="39">
        <f t="shared" ref="H70" si="257">ABS(D70-D71)</f>
        <v>2.0000000000000018E-2</v>
      </c>
      <c r="I70" s="39">
        <f t="shared" ref="I70" si="258">ABS(E70-E71)</f>
        <v>9.9999999999997868E-3</v>
      </c>
      <c r="J70" s="41">
        <f t="shared" ref="J70" si="259">SQRT(G70*G70+H70*H70+I70*I70)</f>
        <v>0.11224972160321767</v>
      </c>
      <c r="K70" s="39">
        <f t="shared" ref="K70" si="260">AVERAGE(F70:F71)</f>
        <v>1.365</v>
      </c>
      <c r="L70" s="40">
        <f t="shared" ref="L70" si="261">K70*0.1</f>
        <v>0.13650000000000001</v>
      </c>
      <c r="M70" s="40">
        <f t="shared" ref="M70" si="262">ABS(F70-F71)</f>
        <v>8.9999999999999858E-2</v>
      </c>
      <c r="N70" s="43">
        <f t="shared" ref="N70" si="263">L70-M70</f>
        <v>4.6500000000000152E-2</v>
      </c>
      <c r="O70" s="1"/>
    </row>
    <row r="71" spans="1:15" ht="14.25" x14ac:dyDescent="0.15">
      <c r="A71" s="40"/>
      <c r="B71" s="44"/>
      <c r="C71" s="27">
        <v>92.79</v>
      </c>
      <c r="D71" s="28">
        <v>-1.07</v>
      </c>
      <c r="E71" s="27">
        <v>7.37</v>
      </c>
      <c r="F71" s="27">
        <v>1.32</v>
      </c>
      <c r="G71" s="40"/>
      <c r="H71" s="40"/>
      <c r="I71" s="40"/>
      <c r="J71" s="42"/>
      <c r="K71" s="40"/>
      <c r="L71" s="40"/>
      <c r="M71" s="40"/>
      <c r="N71" s="43"/>
      <c r="O71" s="1"/>
    </row>
    <row r="72" spans="1:15" ht="14.25" x14ac:dyDescent="0.15">
      <c r="A72" s="40">
        <v>31</v>
      </c>
      <c r="B72" s="44"/>
      <c r="C72" s="27">
        <v>92.49</v>
      </c>
      <c r="D72" s="28">
        <v>-1.02</v>
      </c>
      <c r="E72" s="27">
        <v>7.39</v>
      </c>
      <c r="F72" s="27">
        <v>1.23</v>
      </c>
      <c r="G72" s="39">
        <f t="shared" si="81"/>
        <v>0.14999999999999147</v>
      </c>
      <c r="H72" s="39">
        <f t="shared" ref="H72" si="264">ABS(D72-D73)</f>
        <v>7.0000000000000062E-2</v>
      </c>
      <c r="I72" s="39">
        <f t="shared" ref="I72" si="265">ABS(E72-E73)</f>
        <v>0.41999999999999993</v>
      </c>
      <c r="J72" s="41">
        <f t="shared" ref="J72" si="266">SQRT(G72*G72+H72*H72+I72*I72)</f>
        <v>0.45144213361182561</v>
      </c>
      <c r="K72" s="39">
        <f t="shared" ref="K72" si="267">AVERAGE(F72:F73)</f>
        <v>1.2850000000000001</v>
      </c>
      <c r="L72" s="40">
        <f t="shared" ref="L72" si="268">K72*0.1</f>
        <v>0.12850000000000003</v>
      </c>
      <c r="M72" s="40">
        <f t="shared" ref="M72" si="269">ABS(F72-F73)</f>
        <v>0.1100000000000001</v>
      </c>
      <c r="N72" s="43">
        <f t="shared" ref="N72" si="270">L72-M72</f>
        <v>1.8499999999999933E-2</v>
      </c>
      <c r="O72" s="1"/>
    </row>
    <row r="73" spans="1:15" ht="14.25" x14ac:dyDescent="0.15">
      <c r="A73" s="40"/>
      <c r="B73" s="44"/>
      <c r="C73" s="27">
        <v>92.34</v>
      </c>
      <c r="D73" s="28">
        <v>-0.95</v>
      </c>
      <c r="E73" s="27">
        <v>6.97</v>
      </c>
      <c r="F73" s="27">
        <v>1.34</v>
      </c>
      <c r="G73" s="40"/>
      <c r="H73" s="40"/>
      <c r="I73" s="40"/>
      <c r="J73" s="42"/>
      <c r="K73" s="40"/>
      <c r="L73" s="40"/>
      <c r="M73" s="40"/>
      <c r="N73" s="43"/>
      <c r="O73" s="1"/>
    </row>
    <row r="74" spans="1:15" ht="14.25" x14ac:dyDescent="0.15">
      <c r="A74" s="40">
        <v>32</v>
      </c>
      <c r="B74" s="44"/>
      <c r="C74" s="27">
        <v>92.85</v>
      </c>
      <c r="D74" s="28">
        <v>-1.05</v>
      </c>
      <c r="E74" s="27">
        <v>7</v>
      </c>
      <c r="F74" s="27">
        <v>1.33</v>
      </c>
      <c r="G74" s="39">
        <f t="shared" si="84"/>
        <v>0.45999999999999375</v>
      </c>
      <c r="H74" s="39">
        <f t="shared" ref="H74" si="271">ABS(D74-D75)</f>
        <v>3.0000000000000027E-2</v>
      </c>
      <c r="I74" s="39">
        <f t="shared" ref="I74" si="272">ABS(E74-E75)</f>
        <v>0.83000000000000007</v>
      </c>
      <c r="J74" s="41">
        <f t="shared" ref="J74" si="273">SQRT(G74*G74+H74*H74+I74*I74)</f>
        <v>0.94942087611343073</v>
      </c>
      <c r="K74" s="39">
        <f t="shared" ref="K74" si="274">AVERAGE(F74:F75)</f>
        <v>1.37</v>
      </c>
      <c r="L74" s="40">
        <f t="shared" ref="L74" si="275">K74*0.1</f>
        <v>0.13700000000000001</v>
      </c>
      <c r="M74" s="40">
        <f t="shared" ref="M74" si="276">ABS(F74-F75)</f>
        <v>7.9999999999999849E-2</v>
      </c>
      <c r="N74" s="43">
        <f t="shared" ref="N74" si="277">L74-M74</f>
        <v>5.7000000000000162E-2</v>
      </c>
      <c r="O74" s="1"/>
    </row>
    <row r="75" spans="1:15" ht="14.25" x14ac:dyDescent="0.15">
      <c r="A75" s="40"/>
      <c r="B75" s="44"/>
      <c r="C75" s="27">
        <v>92.39</v>
      </c>
      <c r="D75" s="28">
        <v>-1.02</v>
      </c>
      <c r="E75" s="27">
        <v>7.83</v>
      </c>
      <c r="F75" s="27">
        <v>1.41</v>
      </c>
      <c r="G75" s="40"/>
      <c r="H75" s="40"/>
      <c r="I75" s="40"/>
      <c r="J75" s="42"/>
      <c r="K75" s="40"/>
      <c r="L75" s="40"/>
      <c r="M75" s="40"/>
      <c r="N75" s="43"/>
      <c r="O75" s="1"/>
    </row>
    <row r="76" spans="1:15" ht="14.25" x14ac:dyDescent="0.15">
      <c r="A76" s="40">
        <v>33</v>
      </c>
      <c r="B76" s="44"/>
      <c r="C76" s="27">
        <v>92.59</v>
      </c>
      <c r="D76" s="28">
        <v>-1.02</v>
      </c>
      <c r="E76" s="27">
        <v>7.26</v>
      </c>
      <c r="F76" s="27">
        <v>1.32</v>
      </c>
      <c r="G76" s="39">
        <f t="shared" si="91"/>
        <v>2.0000000000010232E-2</v>
      </c>
      <c r="H76" s="39">
        <f t="shared" ref="H76" si="278">ABS(D76-D77)</f>
        <v>1.0000000000000009E-2</v>
      </c>
      <c r="I76" s="39">
        <f t="shared" ref="I76" si="279">ABS(E76-E77)</f>
        <v>9.9999999999999645E-2</v>
      </c>
      <c r="J76" s="41">
        <f t="shared" ref="J76" si="280">SQRT(G76*G76+H76*H76+I76*I76)</f>
        <v>0.10246950765959764</v>
      </c>
      <c r="K76" s="39">
        <f t="shared" ref="K76" si="281">AVERAGE(F76:F77)</f>
        <v>1.28</v>
      </c>
      <c r="L76" s="40">
        <f t="shared" ref="L76" si="282">K76*0.1</f>
        <v>0.128</v>
      </c>
      <c r="M76" s="40">
        <f t="shared" ref="M76" si="283">ABS(F76-F77)</f>
        <v>8.0000000000000071E-2</v>
      </c>
      <c r="N76" s="43">
        <f t="shared" ref="N76" si="284">L76-M76</f>
        <v>4.7999999999999932E-2</v>
      </c>
      <c r="O76" s="1"/>
    </row>
    <row r="77" spans="1:15" ht="14.25" x14ac:dyDescent="0.15">
      <c r="A77" s="40"/>
      <c r="B77" s="44"/>
      <c r="C77" s="27">
        <v>92.57</v>
      </c>
      <c r="D77" s="28">
        <v>-1.01</v>
      </c>
      <c r="E77" s="27">
        <v>7.16</v>
      </c>
      <c r="F77" s="27">
        <v>1.24</v>
      </c>
      <c r="G77" s="40"/>
      <c r="H77" s="40"/>
      <c r="I77" s="40"/>
      <c r="J77" s="42"/>
      <c r="K77" s="40"/>
      <c r="L77" s="40"/>
      <c r="M77" s="40"/>
      <c r="N77" s="43"/>
      <c r="O77" s="1"/>
    </row>
    <row r="78" spans="1:15" ht="14.25" x14ac:dyDescent="0.15">
      <c r="A78" s="40">
        <v>34</v>
      </c>
      <c r="B78" s="44"/>
      <c r="C78" s="27">
        <v>92.25</v>
      </c>
      <c r="D78" s="28">
        <v>-1</v>
      </c>
      <c r="E78" s="27">
        <v>7</v>
      </c>
      <c r="F78" s="27">
        <v>1.28</v>
      </c>
      <c r="G78" s="39">
        <f t="shared" si="99"/>
        <v>0.43999999999999773</v>
      </c>
      <c r="H78" s="39">
        <f t="shared" ref="H78" si="285">ABS(D78-D79)</f>
        <v>7.0000000000000062E-2</v>
      </c>
      <c r="I78" s="39">
        <f t="shared" ref="I78" si="286">ABS(E78-E79)</f>
        <v>4.0000000000000036E-2</v>
      </c>
      <c r="J78" s="41">
        <f t="shared" ref="J78" si="287">SQRT(G78*G78+H78*H78+I78*I78)</f>
        <v>0.44732538492689861</v>
      </c>
      <c r="K78" s="39">
        <f t="shared" ref="K78" si="288">AVERAGE(F78:F79)</f>
        <v>1.2949999999999999</v>
      </c>
      <c r="L78" s="40">
        <f t="shared" ref="L78" si="289">K78*0.1</f>
        <v>0.1295</v>
      </c>
      <c r="M78" s="40">
        <f t="shared" ref="M78" si="290">ABS(F78-F79)</f>
        <v>3.0000000000000027E-2</v>
      </c>
      <c r="N78" s="43">
        <f t="shared" ref="N78" si="291">L78-M78</f>
        <v>9.9499999999999977E-2</v>
      </c>
      <c r="O78" s="1"/>
    </row>
    <row r="79" spans="1:15" ht="14.25" x14ac:dyDescent="0.15">
      <c r="A79" s="40"/>
      <c r="B79" s="44"/>
      <c r="C79" s="27">
        <v>92.69</v>
      </c>
      <c r="D79" s="28">
        <v>-1.07</v>
      </c>
      <c r="E79" s="27">
        <v>7.04</v>
      </c>
      <c r="F79" s="27">
        <v>1.31</v>
      </c>
      <c r="G79" s="40"/>
      <c r="H79" s="40"/>
      <c r="I79" s="40"/>
      <c r="J79" s="42"/>
      <c r="K79" s="40"/>
      <c r="L79" s="40"/>
      <c r="M79" s="40"/>
      <c r="N79" s="43"/>
      <c r="O79" s="1"/>
    </row>
    <row r="80" spans="1:15" ht="14.25" x14ac:dyDescent="0.15">
      <c r="A80" s="40">
        <v>35</v>
      </c>
      <c r="B80" s="44"/>
      <c r="C80" s="27">
        <v>92.72</v>
      </c>
      <c r="D80" s="28">
        <v>-1.07</v>
      </c>
      <c r="E80" s="27">
        <v>6.8</v>
      </c>
      <c r="F80" s="27">
        <v>1.23</v>
      </c>
      <c r="G80" s="39">
        <f t="shared" ref="G80" si="292">ABS(C80-C81)</f>
        <v>4.9999999999997158E-2</v>
      </c>
      <c r="H80" s="39">
        <f t="shared" ref="H80" si="293">ABS(D80-D81)</f>
        <v>0</v>
      </c>
      <c r="I80" s="39">
        <f t="shared" ref="I80" si="294">ABS(E80-E81)</f>
        <v>4.9999999999999822E-2</v>
      </c>
      <c r="J80" s="41">
        <f t="shared" ref="J80" si="295">SQRT(G80*G80+H80*H80+I80*I80)</f>
        <v>7.0710678118652615E-2</v>
      </c>
      <c r="K80" s="39">
        <f t="shared" ref="K80" si="296">AVERAGE(F80:F81)</f>
        <v>1.25</v>
      </c>
      <c r="L80" s="40">
        <f t="shared" ref="L80" si="297">K80*0.1</f>
        <v>0.125</v>
      </c>
      <c r="M80" s="40">
        <f t="shared" ref="M80" si="298">ABS(F80-F81)</f>
        <v>4.0000000000000036E-2</v>
      </c>
      <c r="N80" s="43">
        <f t="shared" ref="N80" si="299">L80-M80</f>
        <v>8.4999999999999964E-2</v>
      </c>
      <c r="O80" s="1"/>
    </row>
    <row r="81" spans="1:15" ht="14.25" x14ac:dyDescent="0.15">
      <c r="A81" s="40"/>
      <c r="B81" s="44"/>
      <c r="C81" s="27">
        <v>92.67</v>
      </c>
      <c r="D81" s="28">
        <v>-1.07</v>
      </c>
      <c r="E81" s="27">
        <v>6.75</v>
      </c>
      <c r="F81" s="27">
        <v>1.27</v>
      </c>
      <c r="G81" s="40"/>
      <c r="H81" s="40"/>
      <c r="I81" s="40"/>
      <c r="J81" s="42"/>
      <c r="K81" s="40"/>
      <c r="L81" s="40"/>
      <c r="M81" s="40"/>
      <c r="N81" s="43"/>
      <c r="O81" s="1"/>
    </row>
    <row r="82" spans="1:15" ht="14.25" x14ac:dyDescent="0.15">
      <c r="A82" s="40">
        <v>36</v>
      </c>
      <c r="B82" s="44"/>
      <c r="C82" s="27">
        <v>92.41</v>
      </c>
      <c r="D82" s="28">
        <v>-1.01</v>
      </c>
      <c r="E82" s="27">
        <v>7.45</v>
      </c>
      <c r="F82" s="27">
        <v>1.44</v>
      </c>
      <c r="G82" s="39">
        <f t="shared" ref="G82" si="300">ABS(C82-C83)</f>
        <v>0.40999999999999659</v>
      </c>
      <c r="H82" s="39">
        <f t="shared" ref="H82" si="301">ABS(D82-D83)</f>
        <v>0.11999999999999988</v>
      </c>
      <c r="I82" s="39">
        <f t="shared" ref="I82" si="302">ABS(E82-E83)</f>
        <v>0.53000000000000025</v>
      </c>
      <c r="J82" s="41">
        <f t="shared" ref="J82" si="303">SQRT(G82*G82+H82*H82+I82*I82)</f>
        <v>0.68073489700469847</v>
      </c>
      <c r="K82" s="39">
        <f t="shared" ref="K82" si="304">AVERAGE(F82:F83)</f>
        <v>1.415</v>
      </c>
      <c r="L82" s="40">
        <f t="shared" ref="L82" si="305">K82*0.1</f>
        <v>0.14150000000000001</v>
      </c>
      <c r="M82" s="40">
        <f t="shared" ref="M82" si="306">ABS(F82-F83)</f>
        <v>5.0000000000000044E-2</v>
      </c>
      <c r="N82" s="43">
        <f t="shared" ref="N82" si="307">L82-M82</f>
        <v>9.149999999999997E-2</v>
      </c>
      <c r="O82" s="1"/>
    </row>
    <row r="83" spans="1:15" ht="14.25" x14ac:dyDescent="0.15">
      <c r="A83" s="40"/>
      <c r="B83" s="44"/>
      <c r="C83" s="27">
        <v>92.82</v>
      </c>
      <c r="D83" s="28">
        <v>-1.1299999999999999</v>
      </c>
      <c r="E83" s="27">
        <v>7.98</v>
      </c>
      <c r="F83" s="27">
        <v>1.39</v>
      </c>
      <c r="G83" s="40"/>
      <c r="H83" s="40"/>
      <c r="I83" s="40"/>
      <c r="J83" s="42"/>
      <c r="K83" s="40"/>
      <c r="L83" s="40"/>
      <c r="M83" s="40"/>
      <c r="N83" s="43"/>
      <c r="O83" s="1"/>
    </row>
    <row r="84" spans="1:15" ht="30" customHeight="1" x14ac:dyDescent="0.15">
      <c r="A84" s="37" t="s">
        <v>27</v>
      </c>
      <c r="B84" s="38"/>
      <c r="C84" s="28">
        <f>AVERAGE(C66:C83)</f>
        <v>92.63277777777779</v>
      </c>
      <c r="D84" s="28">
        <f t="shared" ref="D84" si="308">AVERAGE(D66:D83)</f>
        <v>-1.0422222222222224</v>
      </c>
      <c r="E84" s="28">
        <f t="shared" ref="E84" si="309">AVERAGE(E66:E83)</f>
        <v>7.2600000000000007</v>
      </c>
      <c r="F84" s="28">
        <f t="shared" ref="F84" si="310">AVERAGE(F66:F83)</f>
        <v>1.3077777777777779</v>
      </c>
      <c r="G84" s="28">
        <f t="shared" ref="G84" si="311">AVERAGE(G66:G83)</f>
        <v>0.19444444444444287</v>
      </c>
      <c r="H84" s="28">
        <f t="shared" ref="H84" si="312">AVERAGE(H66:H83)</f>
        <v>3.7777777777777785E-2</v>
      </c>
      <c r="I84" s="28">
        <f>AVERAGE(I66:I83)</f>
        <v>0.24666666666666665</v>
      </c>
      <c r="J84" s="28">
        <f t="shared" ref="J84" si="313">AVERAGE(J66:J83)</f>
        <v>0.34230439063330437</v>
      </c>
      <c r="K84" s="28">
        <f t="shared" ref="K84" si="314">AVERAGE(K66:K83)</f>
        <v>1.3077777777777777</v>
      </c>
      <c r="L84" s="28">
        <f t="shared" ref="L84" si="315">AVERAGE(L66:L83)</f>
        <v>0.13077777777777777</v>
      </c>
      <c r="M84" s="28">
        <f t="shared" ref="M84" si="316">AVERAGE(M66:M83)</f>
        <v>6.0000000000000005E-2</v>
      </c>
      <c r="N84" s="28">
        <f t="shared" ref="N84" si="317">AVERAGE(N66:N83)</f>
        <v>7.0777777777777773E-2</v>
      </c>
      <c r="O84" s="1"/>
    </row>
    <row r="85" spans="1:15" ht="30" customHeight="1" x14ac:dyDescent="0.15">
      <c r="A85" s="37" t="s">
        <v>28</v>
      </c>
      <c r="B85" s="38"/>
      <c r="C85" s="28">
        <f>STDEV(C66:C83)</f>
        <v>0.18537102875221273</v>
      </c>
      <c r="D85" s="28">
        <f t="shared" ref="D85:N85" si="318">STDEV(D66:D83)</f>
        <v>3.8889822584496254E-2</v>
      </c>
      <c r="E85" s="28">
        <f t="shared" si="318"/>
        <v>0.31654383582688839</v>
      </c>
      <c r="F85" s="28">
        <f t="shared" si="318"/>
        <v>7.1911347018849242E-2</v>
      </c>
      <c r="G85" s="28">
        <f t="shared" si="318"/>
        <v>0.18595100907974885</v>
      </c>
      <c r="H85" s="28">
        <f t="shared" si="318"/>
        <v>4.0551750201988111E-2</v>
      </c>
      <c r="I85" s="28">
        <f>STDEV(I66:I83)</f>
        <v>0.28390139133156783</v>
      </c>
      <c r="J85" s="28">
        <f t="shared" si="318"/>
        <v>0.31239985142811105</v>
      </c>
      <c r="K85" s="28">
        <f t="shared" si="318"/>
        <v>6.519734998022883E-2</v>
      </c>
      <c r="L85" s="28">
        <f t="shared" si="318"/>
        <v>6.5197349980228841E-3</v>
      </c>
      <c r="M85" s="28">
        <f t="shared" si="318"/>
        <v>3.0413812651491078E-2</v>
      </c>
      <c r="N85" s="28">
        <f t="shared" si="318"/>
        <v>2.9069003155327615E-2</v>
      </c>
      <c r="O85" s="1"/>
    </row>
    <row r="86" spans="1:15" ht="30" customHeight="1" x14ac:dyDescent="0.15">
      <c r="A86" s="37" t="s">
        <v>29</v>
      </c>
      <c r="B86" s="38"/>
      <c r="C86" s="28">
        <f>C85/C84*100</f>
        <v>0.20011386163643952</v>
      </c>
      <c r="D86" s="28">
        <f t="shared" ref="D86" si="319">D85/D84*100</f>
        <v>-3.7314328705806634</v>
      </c>
      <c r="E86" s="28">
        <f t="shared" ref="E86" si="320">E85/E84*100</f>
        <v>4.3601079314998392</v>
      </c>
      <c r="F86" s="28">
        <f t="shared" ref="F86" si="321">F85/F84*100</f>
        <v>5.4987436123164244</v>
      </c>
      <c r="G86" s="28">
        <f t="shared" ref="G86" si="322">G85/G84*100</f>
        <v>95.631947526728752</v>
      </c>
      <c r="H86" s="28">
        <f t="shared" ref="H86" si="323">H85/H84*100</f>
        <v>107.34286818173322</v>
      </c>
      <c r="I86" s="28">
        <f t="shared" ref="I86" si="324">I85/I84*100</f>
        <v>115.09515864793292</v>
      </c>
      <c r="J86" s="28">
        <f t="shared" ref="J86" si="325">J85/J84*100</f>
        <v>91.263758215351459</v>
      </c>
      <c r="K86" s="28">
        <f t="shared" ref="K86" si="326">K85/K84*100</f>
        <v>4.9853538642485944</v>
      </c>
      <c r="L86" s="28">
        <f t="shared" ref="L86" si="327">L85/L84*100</f>
        <v>4.9853538642485953</v>
      </c>
      <c r="M86" s="28">
        <f t="shared" ref="M86" si="328">M85/M84*100</f>
        <v>50.689687752485128</v>
      </c>
      <c r="N86" s="28">
        <f t="shared" ref="N86" si="329">N85/N84*100</f>
        <v>41.070805086020179</v>
      </c>
      <c r="O86" s="1"/>
    </row>
    <row r="87" spans="1:15" ht="14.25" customHeight="1" x14ac:dyDescent="0.15">
      <c r="A87" s="40">
        <v>37</v>
      </c>
      <c r="B87" s="44" t="s">
        <v>7</v>
      </c>
      <c r="C87" s="27">
        <v>92.49</v>
      </c>
      <c r="D87" s="28">
        <v>-1.02</v>
      </c>
      <c r="E87" s="27">
        <v>7.37</v>
      </c>
      <c r="F87" s="27">
        <v>1.54</v>
      </c>
      <c r="G87" s="39">
        <f t="shared" ref="G87" si="330">ABS(C87-C88)</f>
        <v>2.0000000000010232E-2</v>
      </c>
      <c r="H87" s="39">
        <f t="shared" ref="H87" si="331">ABS(D87-D88)</f>
        <v>1.0000000000000009E-2</v>
      </c>
      <c r="I87" s="39">
        <f t="shared" ref="I87" si="332">ABS(E87-E88)</f>
        <v>0.25</v>
      </c>
      <c r="J87" s="41">
        <f>SQRT(G87*G87+H87*H87+I87*I87)</f>
        <v>0.25099800796022348</v>
      </c>
      <c r="K87" s="39">
        <f>AVERAGE(F87:F88)</f>
        <v>1.5550000000000002</v>
      </c>
      <c r="L87" s="40">
        <f>K87*0.1</f>
        <v>0.15550000000000003</v>
      </c>
      <c r="M87" s="40">
        <f>ABS(F87-F88)</f>
        <v>3.0000000000000027E-2</v>
      </c>
      <c r="N87" s="43">
        <f>L87-M87</f>
        <v>0.1255</v>
      </c>
      <c r="O87" s="1"/>
    </row>
    <row r="88" spans="1:15" ht="14.25" x14ac:dyDescent="0.15">
      <c r="A88" s="40"/>
      <c r="B88" s="44"/>
      <c r="C88" s="27">
        <v>92.51</v>
      </c>
      <c r="D88" s="28">
        <v>-1.01</v>
      </c>
      <c r="E88" s="27">
        <v>7.12</v>
      </c>
      <c r="F88" s="27">
        <v>1.57</v>
      </c>
      <c r="G88" s="40"/>
      <c r="H88" s="40"/>
      <c r="I88" s="40"/>
      <c r="J88" s="42"/>
      <c r="K88" s="40"/>
      <c r="L88" s="40"/>
      <c r="M88" s="40"/>
      <c r="N88" s="43"/>
      <c r="O88" s="1"/>
    </row>
    <row r="89" spans="1:15" ht="14.25" x14ac:dyDescent="0.15">
      <c r="A89" s="40">
        <v>38</v>
      </c>
      <c r="B89" s="44"/>
      <c r="C89" s="27">
        <v>92.52</v>
      </c>
      <c r="D89" s="28">
        <v>-1.03</v>
      </c>
      <c r="E89" s="27">
        <v>7.49</v>
      </c>
      <c r="F89" s="27">
        <v>1.27</v>
      </c>
      <c r="G89" s="39">
        <f t="shared" si="81"/>
        <v>2.0000000000010232E-2</v>
      </c>
      <c r="H89" s="39">
        <f t="shared" ref="H89" si="333">ABS(D89-D90)</f>
        <v>2.0000000000000018E-2</v>
      </c>
      <c r="I89" s="39">
        <f t="shared" ref="I89" si="334">ABS(E89-E90)</f>
        <v>0.54</v>
      </c>
      <c r="J89" s="41">
        <f t="shared" ref="J89" si="335">SQRT(G89*G89+H89*H89+I89*I89)</f>
        <v>0.54074023338383137</v>
      </c>
      <c r="K89" s="39">
        <f>AVERAGE(F89:F90)</f>
        <v>1.2549999999999999</v>
      </c>
      <c r="L89" s="40">
        <f t="shared" ref="L89" si="336">K89*0.1</f>
        <v>0.1255</v>
      </c>
      <c r="M89" s="40">
        <f t="shared" ref="M89" si="337">ABS(F89-F90)</f>
        <v>3.0000000000000027E-2</v>
      </c>
      <c r="N89" s="43">
        <f t="shared" ref="N89" si="338">L89-M89</f>
        <v>9.5499999999999974E-2</v>
      </c>
      <c r="O89" s="1"/>
    </row>
    <row r="90" spans="1:15" ht="14.25" x14ac:dyDescent="0.15">
      <c r="A90" s="40"/>
      <c r="B90" s="44"/>
      <c r="C90" s="27">
        <v>92.54</v>
      </c>
      <c r="D90" s="28">
        <v>-1.01</v>
      </c>
      <c r="E90" s="27">
        <v>6.95</v>
      </c>
      <c r="F90" s="27">
        <v>1.24</v>
      </c>
      <c r="G90" s="40"/>
      <c r="H90" s="40"/>
      <c r="I90" s="40"/>
      <c r="J90" s="42"/>
      <c r="K90" s="40"/>
      <c r="L90" s="40"/>
      <c r="M90" s="40"/>
      <c r="N90" s="43"/>
      <c r="O90" s="1"/>
    </row>
    <row r="91" spans="1:15" ht="14.25" x14ac:dyDescent="0.15">
      <c r="A91" s="40">
        <v>39</v>
      </c>
      <c r="B91" s="44"/>
      <c r="C91" s="27">
        <v>92.57</v>
      </c>
      <c r="D91" s="28">
        <v>-1.02</v>
      </c>
      <c r="E91" s="27">
        <v>7.08</v>
      </c>
      <c r="F91" s="27">
        <v>1.27</v>
      </c>
      <c r="G91" s="39">
        <f t="shared" si="84"/>
        <v>4.9999999999997158E-2</v>
      </c>
      <c r="H91" s="39">
        <f t="shared" ref="H91" si="339">ABS(D91-D92)</f>
        <v>1.0000000000000009E-2</v>
      </c>
      <c r="I91" s="39">
        <f t="shared" ref="I91" si="340">ABS(E91-E92)</f>
        <v>0</v>
      </c>
      <c r="J91" s="41">
        <f t="shared" ref="J91" si="341">SQRT(G91*G91+H91*H91+I91*I91)</f>
        <v>5.0990195135925065E-2</v>
      </c>
      <c r="K91" s="39">
        <f t="shared" ref="K91" si="342">AVERAGE(F91:F92)</f>
        <v>1.28</v>
      </c>
      <c r="L91" s="40">
        <f t="shared" ref="L91" si="343">K91*0.1</f>
        <v>0.128</v>
      </c>
      <c r="M91" s="40">
        <f t="shared" ref="M91" si="344">ABS(F91-F92)</f>
        <v>2.0000000000000018E-2</v>
      </c>
      <c r="N91" s="43">
        <f t="shared" ref="N91" si="345">L91-M91</f>
        <v>0.10799999999999998</v>
      </c>
      <c r="O91" s="1"/>
    </row>
    <row r="92" spans="1:15" ht="14.25" x14ac:dyDescent="0.15">
      <c r="A92" s="40"/>
      <c r="B92" s="44"/>
      <c r="C92" s="27">
        <v>92.52</v>
      </c>
      <c r="D92" s="28">
        <v>-1.01</v>
      </c>
      <c r="E92" s="27">
        <v>7.08</v>
      </c>
      <c r="F92" s="27">
        <v>1.29</v>
      </c>
      <c r="G92" s="40"/>
      <c r="H92" s="40"/>
      <c r="I92" s="40"/>
      <c r="J92" s="42"/>
      <c r="K92" s="40"/>
      <c r="L92" s="40"/>
      <c r="M92" s="40"/>
      <c r="N92" s="43"/>
      <c r="O92" s="1"/>
    </row>
    <row r="93" spans="1:15" ht="14.25" x14ac:dyDescent="0.15">
      <c r="A93" s="40">
        <v>40</v>
      </c>
      <c r="B93" s="44"/>
      <c r="C93" s="27">
        <v>92.61</v>
      </c>
      <c r="D93" s="28">
        <v>-1.02</v>
      </c>
      <c r="E93" s="27">
        <v>7.17</v>
      </c>
      <c r="F93" s="27">
        <v>1.28</v>
      </c>
      <c r="G93" s="39">
        <f t="shared" si="91"/>
        <v>0.87000000000000455</v>
      </c>
      <c r="H93" s="39">
        <f t="shared" ref="H93" si="346">ABS(D93-D94)</f>
        <v>0.14999999999999991</v>
      </c>
      <c r="I93" s="39">
        <f t="shared" ref="I93" si="347">ABS(E93-E94)</f>
        <v>0</v>
      </c>
      <c r="J93" s="41">
        <f t="shared" ref="J93" si="348">SQRT(G93*G93+H93*H93+I93*I93)</f>
        <v>0.88283633817373419</v>
      </c>
      <c r="K93" s="39">
        <f t="shared" ref="K93" si="349">AVERAGE(F93:F94)</f>
        <v>1.33</v>
      </c>
      <c r="L93" s="40">
        <f t="shared" ref="L93" si="350">K93*0.1</f>
        <v>0.13300000000000001</v>
      </c>
      <c r="M93" s="40">
        <f t="shared" ref="M93" si="351">ABS(F93-F94)</f>
        <v>9.9999999999999867E-2</v>
      </c>
      <c r="N93" s="43">
        <f t="shared" ref="N93" si="352">L93-M93</f>
        <v>3.300000000000014E-2</v>
      </c>
      <c r="O93" s="1"/>
    </row>
    <row r="94" spans="1:15" ht="14.25" x14ac:dyDescent="0.15">
      <c r="A94" s="40"/>
      <c r="B94" s="44"/>
      <c r="C94" s="27">
        <v>93.48</v>
      </c>
      <c r="D94" s="28">
        <v>-1.17</v>
      </c>
      <c r="E94" s="27">
        <v>7.17</v>
      </c>
      <c r="F94" s="27">
        <v>1.38</v>
      </c>
      <c r="G94" s="40"/>
      <c r="H94" s="40"/>
      <c r="I94" s="40"/>
      <c r="J94" s="42"/>
      <c r="K94" s="40"/>
      <c r="L94" s="40"/>
      <c r="M94" s="40"/>
      <c r="N94" s="43"/>
      <c r="O94" s="1"/>
    </row>
    <row r="95" spans="1:15" ht="14.25" x14ac:dyDescent="0.15">
      <c r="A95" s="40">
        <v>41</v>
      </c>
      <c r="B95" s="44"/>
      <c r="C95" s="27">
        <v>92.22</v>
      </c>
      <c r="D95" s="28">
        <v>-1</v>
      </c>
      <c r="E95" s="27">
        <v>7.92</v>
      </c>
      <c r="F95" s="27">
        <v>1.31</v>
      </c>
      <c r="G95" s="39">
        <f t="shared" si="99"/>
        <v>9.0000000000003411E-2</v>
      </c>
      <c r="H95" s="39">
        <f t="shared" ref="H95" si="353">ABS(D95-D96)</f>
        <v>5.0000000000000044E-2</v>
      </c>
      <c r="I95" s="39">
        <f t="shared" ref="I95" si="354">ABS(E95-E96)</f>
        <v>0.46999999999999975</v>
      </c>
      <c r="J95" s="41">
        <f t="shared" ref="J95" si="355">SQRT(G95*G95+H95*H95+I95*I95)</f>
        <v>0.48114446894877672</v>
      </c>
      <c r="K95" s="39">
        <f t="shared" ref="K95" si="356">AVERAGE(F95:F96)</f>
        <v>1.2749999999999999</v>
      </c>
      <c r="L95" s="40">
        <f t="shared" ref="L95" si="357">K95*0.1</f>
        <v>0.1275</v>
      </c>
      <c r="M95" s="40">
        <f t="shared" ref="M95" si="358">ABS(F95-F96)</f>
        <v>7.0000000000000062E-2</v>
      </c>
      <c r="N95" s="43">
        <f t="shared" ref="N95" si="359">L95-M95</f>
        <v>5.749999999999994E-2</v>
      </c>
      <c r="O95" s="1"/>
    </row>
    <row r="96" spans="1:15" ht="14.25" x14ac:dyDescent="0.15">
      <c r="A96" s="40"/>
      <c r="B96" s="44"/>
      <c r="C96" s="27">
        <v>92.13</v>
      </c>
      <c r="D96" s="28">
        <v>-0.95</v>
      </c>
      <c r="E96" s="27">
        <v>7.45</v>
      </c>
      <c r="F96" s="27">
        <v>1.24</v>
      </c>
      <c r="G96" s="40"/>
      <c r="H96" s="40"/>
      <c r="I96" s="40"/>
      <c r="J96" s="42"/>
      <c r="K96" s="40"/>
      <c r="L96" s="40"/>
      <c r="M96" s="40"/>
      <c r="N96" s="43"/>
      <c r="O96" s="1"/>
    </row>
    <row r="97" spans="1:15" ht="14.25" x14ac:dyDescent="0.15">
      <c r="A97" s="40">
        <v>42</v>
      </c>
      <c r="B97" s="44"/>
      <c r="C97" s="27">
        <v>92.34</v>
      </c>
      <c r="D97" s="28">
        <v>-0.97</v>
      </c>
      <c r="E97" s="27">
        <v>7.12</v>
      </c>
      <c r="F97" s="27">
        <v>1.43</v>
      </c>
      <c r="G97" s="39">
        <f t="shared" ref="G97" si="360">ABS(C97-C98)</f>
        <v>7.000000000000739E-2</v>
      </c>
      <c r="H97" s="39">
        <f t="shared" ref="H97" si="361">ABS(D97-D98)</f>
        <v>2.0000000000000018E-2</v>
      </c>
      <c r="I97" s="39">
        <f t="shared" ref="I97" si="362">ABS(E97-E98)</f>
        <v>4.0000000000000036E-2</v>
      </c>
      <c r="J97" s="41">
        <f t="shared" ref="J97" si="363">SQRT(G97*G97+H97*H97+I97*I97)</f>
        <v>8.3066238629187009E-2</v>
      </c>
      <c r="K97" s="39">
        <f t="shared" ref="K97" si="364">AVERAGE(F97:F98)</f>
        <v>1.4049999999999998</v>
      </c>
      <c r="L97" s="40">
        <f t="shared" ref="L97" si="365">K97*0.1</f>
        <v>0.14049999999999999</v>
      </c>
      <c r="M97" s="40">
        <f t="shared" ref="M97" si="366">ABS(F97-F98)</f>
        <v>5.0000000000000044E-2</v>
      </c>
      <c r="N97" s="43">
        <f t="shared" ref="N97" si="367">L97-M97</f>
        <v>9.0499999999999942E-2</v>
      </c>
      <c r="O97" s="1"/>
    </row>
    <row r="98" spans="1:15" ht="14.25" x14ac:dyDescent="0.15">
      <c r="A98" s="40"/>
      <c r="B98" s="44"/>
      <c r="C98" s="27">
        <v>92.27</v>
      </c>
      <c r="D98" s="28">
        <v>-0.95</v>
      </c>
      <c r="E98" s="27">
        <v>7.08</v>
      </c>
      <c r="F98" s="27">
        <v>1.38</v>
      </c>
      <c r="G98" s="40"/>
      <c r="H98" s="40"/>
      <c r="I98" s="40"/>
      <c r="J98" s="42"/>
      <c r="K98" s="40"/>
      <c r="L98" s="40"/>
      <c r="M98" s="40"/>
      <c r="N98" s="43"/>
      <c r="O98" s="1"/>
    </row>
    <row r="99" spans="1:15" ht="14.25" x14ac:dyDescent="0.15">
      <c r="A99" s="40">
        <v>43</v>
      </c>
      <c r="B99" s="44"/>
      <c r="C99" s="27">
        <v>91.99</v>
      </c>
      <c r="D99" s="28">
        <v>-0.94</v>
      </c>
      <c r="E99" s="27">
        <v>6.91</v>
      </c>
      <c r="F99" s="27">
        <v>1.37</v>
      </c>
      <c r="G99" s="39">
        <f t="shared" ref="G99" si="368">ABS(C99-C100)</f>
        <v>1.9999999999996021E-2</v>
      </c>
      <c r="H99" s="39">
        <f t="shared" ref="H99" si="369">ABS(D99-D100)</f>
        <v>0</v>
      </c>
      <c r="I99" s="39">
        <f t="shared" ref="I99" si="370">ABS(E99-E100)</f>
        <v>2.0000000000000462E-2</v>
      </c>
      <c r="J99" s="41">
        <f t="shared" ref="J99" si="371">SQRT(G99*G99+H99*H99+I99*I99)</f>
        <v>2.8284271247459414E-2</v>
      </c>
      <c r="K99" s="39">
        <f t="shared" ref="K99" si="372">AVERAGE(F99:F100)</f>
        <v>1.395</v>
      </c>
      <c r="L99" s="40">
        <f t="shared" ref="L99" si="373">K99*0.1</f>
        <v>0.13950000000000001</v>
      </c>
      <c r="M99" s="40">
        <f t="shared" ref="M99" si="374">ABS(F99-F100)</f>
        <v>4.9999999999999822E-2</v>
      </c>
      <c r="N99" s="43">
        <f t="shared" ref="N99" si="375">L99-M99</f>
        <v>8.9500000000000191E-2</v>
      </c>
      <c r="O99" s="1"/>
    </row>
    <row r="100" spans="1:15" ht="14.25" x14ac:dyDescent="0.15">
      <c r="A100" s="40"/>
      <c r="B100" s="44"/>
      <c r="C100" s="27">
        <v>91.97</v>
      </c>
      <c r="D100" s="28">
        <v>-0.94</v>
      </c>
      <c r="E100" s="27">
        <v>6.89</v>
      </c>
      <c r="F100" s="27">
        <v>1.42</v>
      </c>
      <c r="G100" s="40"/>
      <c r="H100" s="40"/>
      <c r="I100" s="40"/>
      <c r="J100" s="42"/>
      <c r="K100" s="40"/>
      <c r="L100" s="40"/>
      <c r="M100" s="40"/>
      <c r="N100" s="43"/>
      <c r="O100" s="1"/>
    </row>
    <row r="101" spans="1:15" ht="14.25" x14ac:dyDescent="0.15">
      <c r="A101" s="40">
        <v>44</v>
      </c>
      <c r="B101" s="44"/>
      <c r="C101" s="27">
        <v>91.97</v>
      </c>
      <c r="D101" s="28">
        <v>-0.93</v>
      </c>
      <c r="E101" s="27">
        <v>6.58</v>
      </c>
      <c r="F101" s="27">
        <v>1.54</v>
      </c>
      <c r="G101" s="39">
        <f t="shared" ref="G101" si="376">ABS(C101-C102)</f>
        <v>6.9999999999993179E-2</v>
      </c>
      <c r="H101" s="39">
        <f t="shared" ref="H101" si="377">ABS(D101-D102)</f>
        <v>0</v>
      </c>
      <c r="I101" s="39">
        <f t="shared" ref="I101" si="378">ABS(E101-E102)</f>
        <v>0.26999999999999957</v>
      </c>
      <c r="J101" s="41">
        <f t="shared" ref="J101" si="379">SQRT(G101*G101+H101*H101+I101*I101)</f>
        <v>0.27892651361962495</v>
      </c>
      <c r="K101" s="39">
        <f t="shared" ref="K101" si="380">AVERAGE(F101:F102)</f>
        <v>1.5649999999999999</v>
      </c>
      <c r="L101" s="40">
        <f t="shared" ref="L101" si="381">K101*0.1</f>
        <v>0.1565</v>
      </c>
      <c r="M101" s="40">
        <f t="shared" ref="M101" si="382">ABS(F101-F102)</f>
        <v>5.0000000000000044E-2</v>
      </c>
      <c r="N101" s="43">
        <f t="shared" ref="N101" si="383">L101-M101</f>
        <v>0.10649999999999996</v>
      </c>
      <c r="O101" s="1"/>
    </row>
    <row r="102" spans="1:15" ht="14.25" x14ac:dyDescent="0.15">
      <c r="A102" s="40"/>
      <c r="B102" s="44"/>
      <c r="C102" s="27">
        <v>91.9</v>
      </c>
      <c r="D102" s="28">
        <v>-0.93</v>
      </c>
      <c r="E102" s="27">
        <v>6.85</v>
      </c>
      <c r="F102" s="27">
        <v>1.59</v>
      </c>
      <c r="G102" s="40"/>
      <c r="H102" s="40"/>
      <c r="I102" s="40"/>
      <c r="J102" s="42"/>
      <c r="K102" s="40"/>
      <c r="L102" s="40"/>
      <c r="M102" s="40"/>
      <c r="N102" s="43"/>
      <c r="O102" s="1"/>
    </row>
    <row r="103" spans="1:15" ht="14.25" x14ac:dyDescent="0.15">
      <c r="A103" s="40">
        <v>45</v>
      </c>
      <c r="B103" s="44"/>
      <c r="C103" s="27">
        <v>92.16</v>
      </c>
      <c r="D103" s="28">
        <v>-0.97</v>
      </c>
      <c r="E103" s="27">
        <v>7.58</v>
      </c>
      <c r="F103" s="27">
        <v>1.44</v>
      </c>
      <c r="G103" s="39">
        <f t="shared" ref="G103:G171" si="384">ABS(C103-C104)</f>
        <v>2.0000000000010232E-2</v>
      </c>
      <c r="H103" s="39">
        <f t="shared" ref="H103" si="385">ABS(D103-D104)</f>
        <v>0</v>
      </c>
      <c r="I103" s="39">
        <f t="shared" ref="I103" si="386">ABS(E103-E104)</f>
        <v>8.9999999999999858E-2</v>
      </c>
      <c r="J103" s="41">
        <f t="shared" ref="J103" si="387">SQRT(G103*G103+H103*H103+I103*I103)</f>
        <v>9.2195444572930954E-2</v>
      </c>
      <c r="K103" s="39">
        <f t="shared" ref="K103" si="388">AVERAGE(F103:F104)</f>
        <v>1.5049999999999999</v>
      </c>
      <c r="L103" s="40">
        <f t="shared" ref="L103" si="389">K103*0.1</f>
        <v>0.15049999999999999</v>
      </c>
      <c r="M103" s="40">
        <f t="shared" ref="M103" si="390">ABS(F103-F104)</f>
        <v>0.13000000000000012</v>
      </c>
      <c r="N103" s="43">
        <f t="shared" ref="N103" si="391">L103-M103</f>
        <v>2.0499999999999879E-2</v>
      </c>
      <c r="O103" s="1"/>
    </row>
    <row r="104" spans="1:15" ht="14.25" x14ac:dyDescent="0.15">
      <c r="A104" s="40"/>
      <c r="B104" s="44"/>
      <c r="C104" s="27">
        <v>92.18</v>
      </c>
      <c r="D104" s="28">
        <v>-0.97</v>
      </c>
      <c r="E104" s="27">
        <v>7.49</v>
      </c>
      <c r="F104" s="27">
        <v>1.57</v>
      </c>
      <c r="G104" s="40"/>
      <c r="H104" s="40"/>
      <c r="I104" s="40"/>
      <c r="J104" s="42"/>
      <c r="K104" s="40"/>
      <c r="L104" s="40"/>
      <c r="M104" s="40"/>
      <c r="N104" s="43"/>
      <c r="O104" s="1"/>
    </row>
    <row r="105" spans="1:15" ht="30" customHeight="1" x14ac:dyDescent="0.15">
      <c r="A105" s="37" t="s">
        <v>27</v>
      </c>
      <c r="B105" s="38"/>
      <c r="C105" s="28">
        <f>AVERAGE(C87:C104)</f>
        <v>92.353888888888903</v>
      </c>
      <c r="D105" s="28">
        <f t="shared" ref="D105" si="392">AVERAGE(D87:D104)</f>
        <v>-0.99111111111111094</v>
      </c>
      <c r="E105" s="28">
        <f t="shared" ref="E105" si="393">AVERAGE(E87:E104)</f>
        <v>7.1833333333333327</v>
      </c>
      <c r="F105" s="28">
        <f t="shared" ref="F105" si="394">AVERAGE(F87:F104)</f>
        <v>1.3961111111111113</v>
      </c>
      <c r="G105" s="28">
        <f t="shared" ref="G105" si="395">AVERAGE(G87:G104)</f>
        <v>0.13666666666667027</v>
      </c>
      <c r="H105" s="28">
        <f t="shared" ref="H105" si="396">AVERAGE(H87:H104)</f>
        <v>2.8888888888888891E-2</v>
      </c>
      <c r="I105" s="28">
        <f t="shared" ref="I105" si="397">AVERAGE(I87:I104)</f>
        <v>0.18666666666666665</v>
      </c>
      <c r="J105" s="28">
        <f t="shared" ref="J105" si="398">AVERAGE(J87:J104)</f>
        <v>0.29879796796352148</v>
      </c>
      <c r="K105" s="28">
        <f t="shared" ref="K105" si="399">AVERAGE(K87:K104)</f>
        <v>1.3961111111111109</v>
      </c>
      <c r="L105" s="28">
        <f t="shared" ref="L105" si="400">AVERAGE(L87:L104)</f>
        <v>0.13961111111111113</v>
      </c>
      <c r="M105" s="28">
        <f>AVERAGE(M87:M104)</f>
        <v>5.8888888888888893E-2</v>
      </c>
      <c r="N105" s="28">
        <f t="shared" ref="N105" si="401">AVERAGE(N87:N104)</f>
        <v>8.0722222222222209E-2</v>
      </c>
      <c r="O105" s="1"/>
    </row>
    <row r="106" spans="1:15" ht="30" customHeight="1" x14ac:dyDescent="0.15">
      <c r="A106" s="37" t="s">
        <v>28</v>
      </c>
      <c r="B106" s="38"/>
      <c r="C106" s="28">
        <f>STDEV(C87:C104)</f>
        <v>0.36697714128024739</v>
      </c>
      <c r="D106" s="28">
        <f t="shared" ref="D106:N106" si="402">STDEV(D87:D104)</f>
        <v>5.6660899360492581E-2</v>
      </c>
      <c r="E106" s="28">
        <f t="shared" si="402"/>
        <v>0.31852601703693184</v>
      </c>
      <c r="F106" s="28">
        <f t="shared" si="402"/>
        <v>0.12296048570883103</v>
      </c>
      <c r="G106" s="28">
        <f t="shared" si="402"/>
        <v>0.27631503759296211</v>
      </c>
      <c r="H106" s="28">
        <f t="shared" si="402"/>
        <v>4.8074017006186499E-2</v>
      </c>
      <c r="I106" s="28">
        <f t="shared" si="402"/>
        <v>0.20748493921246419</v>
      </c>
      <c r="J106" s="28">
        <f t="shared" si="402"/>
        <v>0.28709274831224896</v>
      </c>
      <c r="K106" s="28">
        <f t="shared" si="402"/>
        <v>0.12152103155878458</v>
      </c>
      <c r="L106" s="28">
        <f t="shared" si="402"/>
        <v>1.2152103155878457E-2</v>
      </c>
      <c r="M106" s="28">
        <f>STDEV(M87:M104)</f>
        <v>3.5862391318916699E-2</v>
      </c>
      <c r="N106" s="28">
        <f t="shared" si="402"/>
        <v>3.5791157349888081E-2</v>
      </c>
      <c r="O106" s="1"/>
    </row>
    <row r="107" spans="1:15" ht="30" customHeight="1" x14ac:dyDescent="0.15">
      <c r="A107" s="37" t="s">
        <v>29</v>
      </c>
      <c r="B107" s="38"/>
      <c r="C107" s="28">
        <f>C106/C105*100</f>
        <v>0.39735970590448882</v>
      </c>
      <c r="D107" s="28">
        <f t="shared" ref="D107" si="403">D106/D105*100</f>
        <v>-5.7169068861483554</v>
      </c>
      <c r="E107" s="28">
        <f t="shared" ref="E107" si="404">E106/E105*100</f>
        <v>4.4342368961057801</v>
      </c>
      <c r="F107" s="28">
        <f t="shared" ref="F107" si="405">F106/F105*100</f>
        <v>8.8073567161120501</v>
      </c>
      <c r="G107" s="28">
        <f t="shared" ref="G107" si="406">G106/G105*100</f>
        <v>202.18173482411328</v>
      </c>
      <c r="H107" s="28">
        <f t="shared" ref="H107" si="407">H106/H105*100</f>
        <v>166.41005886756864</v>
      </c>
      <c r="I107" s="28">
        <f t="shared" ref="I107" si="408">I106/I105*100</f>
        <v>111.15264600667724</v>
      </c>
      <c r="J107" s="28">
        <f t="shared" ref="J107" si="409">J106/J105*100</f>
        <v>96.082563837013254</v>
      </c>
      <c r="K107" s="28">
        <f t="shared" ref="K107" si="410">K106/K105*100</f>
        <v>8.7042521609953152</v>
      </c>
      <c r="L107" s="28">
        <f t="shared" ref="L107" si="411">L106/L105*100</f>
        <v>8.7042521609953134</v>
      </c>
      <c r="M107" s="28">
        <f>M106/M105*100</f>
        <v>60.898400352877417</v>
      </c>
      <c r="N107" s="28">
        <f t="shared" ref="N107" si="412">N106/N105*100</f>
        <v>44.338667054231628</v>
      </c>
      <c r="O107" s="1"/>
    </row>
    <row r="108" spans="1:15" ht="14.25" x14ac:dyDescent="0.15">
      <c r="A108" s="40">
        <v>46</v>
      </c>
      <c r="B108" s="44" t="s">
        <v>8</v>
      </c>
      <c r="C108" s="27">
        <v>92.43</v>
      </c>
      <c r="D108" s="28">
        <v>-1.01</v>
      </c>
      <c r="E108" s="27">
        <v>7.29</v>
      </c>
      <c r="F108" s="27">
        <v>1.65</v>
      </c>
      <c r="G108" s="39">
        <f t="shared" ref="G108:G173" si="413">ABS(C108-C109)</f>
        <v>2.0000000000010232E-2</v>
      </c>
      <c r="H108" s="39">
        <f t="shared" ref="H108" si="414">ABS(D108-D109)</f>
        <v>0</v>
      </c>
      <c r="I108" s="39">
        <f t="shared" ref="I108" si="415">ABS(E108-E109)</f>
        <v>9.9999999999997868E-3</v>
      </c>
      <c r="J108" s="41">
        <f>SQRT(G108*G108+H108*H108+I108*I108)</f>
        <v>2.2360679775006952E-2</v>
      </c>
      <c r="K108" s="39">
        <f>AVERAGE(F108:F109)</f>
        <v>1.58</v>
      </c>
      <c r="L108" s="40">
        <f>K108*0.1</f>
        <v>0.15800000000000003</v>
      </c>
      <c r="M108" s="40">
        <f>ABS(F108-F109)</f>
        <v>0.1399999999999999</v>
      </c>
      <c r="N108" s="43">
        <f>L108-M108</f>
        <v>1.8000000000000127E-2</v>
      </c>
      <c r="O108" s="1"/>
    </row>
    <row r="109" spans="1:15" ht="14.25" x14ac:dyDescent="0.15">
      <c r="A109" s="40"/>
      <c r="B109" s="45"/>
      <c r="C109" s="27">
        <v>92.41</v>
      </c>
      <c r="D109" s="28">
        <v>-1.01</v>
      </c>
      <c r="E109" s="27">
        <v>7.3</v>
      </c>
      <c r="F109" s="27">
        <v>1.51</v>
      </c>
      <c r="G109" s="40"/>
      <c r="H109" s="40"/>
      <c r="I109" s="40"/>
      <c r="J109" s="42"/>
      <c r="K109" s="40"/>
      <c r="L109" s="40"/>
      <c r="M109" s="40"/>
      <c r="N109" s="43"/>
      <c r="O109" s="1"/>
    </row>
    <row r="110" spans="1:15" ht="14.25" x14ac:dyDescent="0.15">
      <c r="A110" s="40">
        <v>47</v>
      </c>
      <c r="B110" s="45"/>
      <c r="C110" s="27">
        <v>92.46</v>
      </c>
      <c r="D110" s="28">
        <v>-0.99</v>
      </c>
      <c r="E110" s="27">
        <v>6.86</v>
      </c>
      <c r="F110" s="27">
        <v>1.35</v>
      </c>
      <c r="G110" s="39">
        <f t="shared" ref="G110:G175" si="416">ABS(C110-C111)</f>
        <v>2.9999999999986926E-2</v>
      </c>
      <c r="H110" s="39">
        <f t="shared" ref="H110" si="417">ABS(D110-D111)</f>
        <v>2.0000000000000018E-2</v>
      </c>
      <c r="I110" s="39">
        <f t="shared" ref="I110" si="418">ABS(E110-E111)</f>
        <v>0.37000000000000011</v>
      </c>
      <c r="J110" s="41">
        <f t="shared" ref="J110" si="419">SQRT(G110*G110+H110*H110+I110*I110)</f>
        <v>0.37175260590882114</v>
      </c>
      <c r="K110" s="39">
        <f>AVERAGE(F110:F111)</f>
        <v>1.36</v>
      </c>
      <c r="L110" s="40">
        <f t="shared" ref="L110" si="420">K110*0.1</f>
        <v>0.13600000000000001</v>
      </c>
      <c r="M110" s="40">
        <f t="shared" ref="M110" si="421">ABS(F110-F111)</f>
        <v>2.0000000000000018E-2</v>
      </c>
      <c r="N110" s="43">
        <f t="shared" ref="N110" si="422">L110-M110</f>
        <v>0.11599999999999999</v>
      </c>
      <c r="O110" s="1"/>
    </row>
    <row r="111" spans="1:15" ht="14.25" x14ac:dyDescent="0.15">
      <c r="A111" s="40"/>
      <c r="B111" s="45"/>
      <c r="C111" s="27">
        <v>92.43</v>
      </c>
      <c r="D111" s="28">
        <v>-1.01</v>
      </c>
      <c r="E111" s="27">
        <v>7.23</v>
      </c>
      <c r="F111" s="27">
        <v>1.37</v>
      </c>
      <c r="G111" s="40"/>
      <c r="H111" s="40"/>
      <c r="I111" s="40"/>
      <c r="J111" s="42"/>
      <c r="K111" s="40"/>
      <c r="L111" s="40"/>
      <c r="M111" s="40"/>
      <c r="N111" s="43"/>
      <c r="O111" s="1"/>
    </row>
    <row r="112" spans="1:15" ht="14.25" x14ac:dyDescent="0.15">
      <c r="A112" s="40">
        <v>48</v>
      </c>
      <c r="B112" s="45"/>
      <c r="C112" s="27">
        <v>92.43</v>
      </c>
      <c r="D112" s="28">
        <v>-1.01</v>
      </c>
      <c r="E112" s="27">
        <v>7.35</v>
      </c>
      <c r="F112" s="27">
        <v>1.58</v>
      </c>
      <c r="G112" s="39">
        <f t="shared" ref="G112:G177" si="423">ABS(C112-C113)</f>
        <v>3.9999999999992042E-2</v>
      </c>
      <c r="H112" s="39">
        <f t="shared" ref="H112" si="424">ABS(D112-D113)</f>
        <v>0</v>
      </c>
      <c r="I112" s="39">
        <f t="shared" ref="I112" si="425">ABS(E112-E113)</f>
        <v>0.11999999999999922</v>
      </c>
      <c r="J112" s="41">
        <f t="shared" ref="J112" si="426">SQRT(G112*G112+H112*H112+I112*I112)</f>
        <v>0.12649110640673192</v>
      </c>
      <c r="K112" s="39">
        <f t="shared" ref="K112" si="427">AVERAGE(F112:F113)</f>
        <v>1.52</v>
      </c>
      <c r="L112" s="40">
        <f t="shared" ref="L112" si="428">K112*0.1</f>
        <v>0.15200000000000002</v>
      </c>
      <c r="M112" s="40">
        <f t="shared" ref="M112" si="429">ABS(F112-F113)</f>
        <v>0.12000000000000011</v>
      </c>
      <c r="N112" s="43">
        <f t="shared" ref="N112" si="430">L112-M112</f>
        <v>3.1999999999999917E-2</v>
      </c>
      <c r="O112" s="1"/>
    </row>
    <row r="113" spans="1:15" ht="14.25" x14ac:dyDescent="0.15">
      <c r="A113" s="40"/>
      <c r="B113" s="45"/>
      <c r="C113" s="27">
        <v>92.47</v>
      </c>
      <c r="D113" s="28">
        <v>-1.01</v>
      </c>
      <c r="E113" s="27">
        <v>7.23</v>
      </c>
      <c r="F113" s="27">
        <v>1.46</v>
      </c>
      <c r="G113" s="40"/>
      <c r="H113" s="40"/>
      <c r="I113" s="40"/>
      <c r="J113" s="42"/>
      <c r="K113" s="40"/>
      <c r="L113" s="40"/>
      <c r="M113" s="40"/>
      <c r="N113" s="43"/>
      <c r="O113" s="1"/>
    </row>
    <row r="114" spans="1:15" ht="14.25" x14ac:dyDescent="0.15">
      <c r="A114" s="40">
        <v>49</v>
      </c>
      <c r="B114" s="45"/>
      <c r="C114" s="27">
        <v>91.86</v>
      </c>
      <c r="D114" s="28">
        <v>-0.88</v>
      </c>
      <c r="E114" s="27">
        <v>7.01</v>
      </c>
      <c r="F114" s="27">
        <v>1.36</v>
      </c>
      <c r="G114" s="39">
        <f t="shared" ref="G114" si="431">ABS(C114-C115)</f>
        <v>0.29000000000000625</v>
      </c>
      <c r="H114" s="39">
        <f t="shared" ref="H114" si="432">ABS(D114-D115)</f>
        <v>5.0000000000000044E-2</v>
      </c>
      <c r="I114" s="39">
        <f t="shared" ref="I114" si="433">ABS(E114-E115)</f>
        <v>0</v>
      </c>
      <c r="J114" s="41">
        <f t="shared" ref="J114" si="434">SQRT(G114*G114+H114*H114+I114*I114)</f>
        <v>0.29427877939124941</v>
      </c>
      <c r="K114" s="39">
        <f t="shared" ref="K114" si="435">AVERAGE(F114:F115)</f>
        <v>1.4</v>
      </c>
      <c r="L114" s="40">
        <f t="shared" ref="L114" si="436">K114*0.1</f>
        <v>0.13999999999999999</v>
      </c>
      <c r="M114" s="40">
        <f t="shared" ref="M114" si="437">ABS(F114-F115)</f>
        <v>7.9999999999999849E-2</v>
      </c>
      <c r="N114" s="43">
        <f t="shared" ref="N114" si="438">L114-M114</f>
        <v>6.0000000000000137E-2</v>
      </c>
      <c r="O114" s="1"/>
    </row>
    <row r="115" spans="1:15" ht="14.25" x14ac:dyDescent="0.15">
      <c r="A115" s="40"/>
      <c r="B115" s="45"/>
      <c r="C115" s="27">
        <v>92.15</v>
      </c>
      <c r="D115" s="28">
        <v>-0.93</v>
      </c>
      <c r="E115" s="27">
        <v>7.01</v>
      </c>
      <c r="F115" s="27">
        <v>1.44</v>
      </c>
      <c r="G115" s="40"/>
      <c r="H115" s="40"/>
      <c r="I115" s="40"/>
      <c r="J115" s="42"/>
      <c r="K115" s="40"/>
      <c r="L115" s="40"/>
      <c r="M115" s="40"/>
      <c r="N115" s="43"/>
      <c r="O115" s="1"/>
    </row>
    <row r="116" spans="1:15" ht="14.25" x14ac:dyDescent="0.15">
      <c r="A116" s="40">
        <v>50</v>
      </c>
      <c r="B116" s="45"/>
      <c r="C116" s="27">
        <v>92.2</v>
      </c>
      <c r="D116" s="28">
        <v>-0.94</v>
      </c>
      <c r="E116" s="27">
        <v>7.11</v>
      </c>
      <c r="F116" s="27">
        <v>1.52</v>
      </c>
      <c r="G116" s="39">
        <f t="shared" ref="G116" si="439">ABS(C116-C117)</f>
        <v>0.31000000000000227</v>
      </c>
      <c r="H116" s="39">
        <f t="shared" ref="H116" si="440">ABS(D116-D117)</f>
        <v>5.9999999999999942E-2</v>
      </c>
      <c r="I116" s="39">
        <f t="shared" ref="I116" si="441">ABS(E116-E117)</f>
        <v>0.14000000000000057</v>
      </c>
      <c r="J116" s="41">
        <f t="shared" ref="J116" si="442">SQRT(G116*G116+H116*H116+I116*I116)</f>
        <v>0.34539832078341315</v>
      </c>
      <c r="K116" s="39">
        <f t="shared" ref="K116" si="443">AVERAGE(F116:F117)</f>
        <v>1.5249999999999999</v>
      </c>
      <c r="L116" s="40">
        <f t="shared" ref="L116" si="444">K116*0.1</f>
        <v>0.1525</v>
      </c>
      <c r="M116" s="40">
        <f t="shared" ref="M116" si="445">ABS(F116-F117)</f>
        <v>1.0000000000000009E-2</v>
      </c>
      <c r="N116" s="43">
        <f t="shared" ref="N116" si="446">L116-M116</f>
        <v>0.14249999999999999</v>
      </c>
      <c r="O116" s="1"/>
    </row>
    <row r="117" spans="1:15" ht="14.25" x14ac:dyDescent="0.15">
      <c r="A117" s="40"/>
      <c r="B117" s="45"/>
      <c r="C117" s="27">
        <v>91.89</v>
      </c>
      <c r="D117" s="28">
        <v>-0.88</v>
      </c>
      <c r="E117" s="27">
        <v>6.97</v>
      </c>
      <c r="F117" s="27">
        <v>1.53</v>
      </c>
      <c r="G117" s="40"/>
      <c r="H117" s="40"/>
      <c r="I117" s="40"/>
      <c r="J117" s="42"/>
      <c r="K117" s="40"/>
      <c r="L117" s="40"/>
      <c r="M117" s="40"/>
      <c r="N117" s="43"/>
      <c r="O117" s="1"/>
    </row>
    <row r="118" spans="1:15" ht="14.25" x14ac:dyDescent="0.15">
      <c r="A118" s="40">
        <v>51</v>
      </c>
      <c r="B118" s="45"/>
      <c r="C118" s="27">
        <v>92.07</v>
      </c>
      <c r="D118" s="28">
        <v>-0.93</v>
      </c>
      <c r="E118" s="27">
        <v>7.16</v>
      </c>
      <c r="F118" s="27">
        <v>1.4</v>
      </c>
      <c r="G118" s="39">
        <f t="shared" ref="G118" si="447">ABS(C118-C119)</f>
        <v>0</v>
      </c>
      <c r="H118" s="39">
        <f t="shared" ref="H118" si="448">ABS(D118-D119)</f>
        <v>0</v>
      </c>
      <c r="I118" s="39">
        <f t="shared" ref="I118" si="449">ABS(E118-E119)</f>
        <v>9.9999999999997868E-3</v>
      </c>
      <c r="J118" s="41">
        <f t="shared" ref="J118" si="450">SQRT(G118*G118+H118*H118+I118*I118)</f>
        <v>9.9999999999997868E-3</v>
      </c>
      <c r="K118" s="39">
        <f t="shared" ref="K118" si="451">AVERAGE(F118:F119)</f>
        <v>1.43</v>
      </c>
      <c r="L118" s="40">
        <f t="shared" ref="L118" si="452">K118*0.1</f>
        <v>0.14299999999999999</v>
      </c>
      <c r="M118" s="40">
        <f t="shared" ref="M118" si="453">ABS(F118-F119)</f>
        <v>6.0000000000000053E-2</v>
      </c>
      <c r="N118" s="43">
        <f t="shared" ref="N118" si="454">L118-M118</f>
        <v>8.2999999999999935E-2</v>
      </c>
      <c r="O118" s="1"/>
    </row>
    <row r="119" spans="1:15" ht="14.25" x14ac:dyDescent="0.15">
      <c r="A119" s="40"/>
      <c r="B119" s="45"/>
      <c r="C119" s="27">
        <v>92.07</v>
      </c>
      <c r="D119" s="28">
        <v>-0.93</v>
      </c>
      <c r="E119" s="27">
        <v>7.17</v>
      </c>
      <c r="F119" s="27">
        <v>1.46</v>
      </c>
      <c r="G119" s="40"/>
      <c r="H119" s="40"/>
      <c r="I119" s="40"/>
      <c r="J119" s="42"/>
      <c r="K119" s="40"/>
      <c r="L119" s="40"/>
      <c r="M119" s="40"/>
      <c r="N119" s="43"/>
      <c r="O119" s="1"/>
    </row>
    <row r="120" spans="1:15" ht="14.25" x14ac:dyDescent="0.15">
      <c r="A120" s="40">
        <v>52</v>
      </c>
      <c r="B120" s="45"/>
      <c r="C120" s="27">
        <v>92.37</v>
      </c>
      <c r="D120" s="28">
        <v>-1.02</v>
      </c>
      <c r="E120" s="27">
        <v>6.91</v>
      </c>
      <c r="F120" s="27">
        <v>1.44</v>
      </c>
      <c r="G120" s="39">
        <f t="shared" si="384"/>
        <v>0.52000000000001023</v>
      </c>
      <c r="H120" s="39">
        <f t="shared" ref="H120" si="455">ABS(D120-D121)</f>
        <v>9.9999999999999978E-2</v>
      </c>
      <c r="I120" s="39">
        <f t="shared" ref="I120" si="456">ABS(E120-E121)</f>
        <v>0.10000000000000053</v>
      </c>
      <c r="J120" s="41">
        <f t="shared" ref="J120" si="457">SQRT(G120*G120+H120*H120+I120*I120)</f>
        <v>0.53888774341230916</v>
      </c>
      <c r="K120" s="39">
        <f t="shared" ref="K120" si="458">AVERAGE(F120:F121)</f>
        <v>1.4649999999999999</v>
      </c>
      <c r="L120" s="40">
        <f t="shared" ref="L120" si="459">K120*0.1</f>
        <v>0.14649999999999999</v>
      </c>
      <c r="M120" s="40">
        <f t="shared" ref="M120" si="460">ABS(F120-F121)</f>
        <v>5.0000000000000044E-2</v>
      </c>
      <c r="N120" s="43">
        <f t="shared" ref="N120" si="461">L120-M120</f>
        <v>9.6499999999999947E-2</v>
      </c>
      <c r="O120" s="1"/>
    </row>
    <row r="121" spans="1:15" ht="14.25" x14ac:dyDescent="0.15">
      <c r="A121" s="40"/>
      <c r="B121" s="45"/>
      <c r="C121" s="27">
        <v>91.85</v>
      </c>
      <c r="D121" s="28">
        <v>-0.92</v>
      </c>
      <c r="E121" s="27">
        <v>6.81</v>
      </c>
      <c r="F121" s="27">
        <v>1.49</v>
      </c>
      <c r="G121" s="40"/>
      <c r="H121" s="40"/>
      <c r="I121" s="40"/>
      <c r="J121" s="42"/>
      <c r="K121" s="40"/>
      <c r="L121" s="40"/>
      <c r="M121" s="40"/>
      <c r="N121" s="43"/>
      <c r="O121" s="1"/>
    </row>
    <row r="122" spans="1:15" ht="14.25" x14ac:dyDescent="0.15">
      <c r="A122" s="40">
        <v>53</v>
      </c>
      <c r="B122" s="45"/>
      <c r="C122" s="27">
        <v>92.29</v>
      </c>
      <c r="D122" s="28">
        <v>-1</v>
      </c>
      <c r="E122" s="27">
        <v>6.7</v>
      </c>
      <c r="F122" s="27">
        <v>1.63</v>
      </c>
      <c r="G122" s="39">
        <f t="shared" si="413"/>
        <v>0.39000000000000057</v>
      </c>
      <c r="H122" s="39">
        <f t="shared" ref="H122" si="462">ABS(D122-D123)</f>
        <v>6.9999999999999951E-2</v>
      </c>
      <c r="I122" s="39">
        <f t="shared" ref="I122" si="463">ABS(E122-E123)</f>
        <v>0.12000000000000011</v>
      </c>
      <c r="J122" s="41">
        <f t="shared" ref="J122" si="464">SQRT(G122*G122+H122*H122+I122*I122)</f>
        <v>0.41400483088968959</v>
      </c>
      <c r="K122" s="39">
        <f t="shared" ref="K122" si="465">AVERAGE(F122:F123)</f>
        <v>1.63</v>
      </c>
      <c r="L122" s="40">
        <f t="shared" ref="L122" si="466">K122*0.1</f>
        <v>0.16300000000000001</v>
      </c>
      <c r="M122" s="40">
        <f t="shared" ref="M122" si="467">ABS(F122-F123)</f>
        <v>0</v>
      </c>
      <c r="N122" s="43">
        <f t="shared" ref="N122" si="468">L122-M122</f>
        <v>0.16300000000000001</v>
      </c>
      <c r="O122" s="1"/>
    </row>
    <row r="123" spans="1:15" ht="14.25" x14ac:dyDescent="0.15">
      <c r="A123" s="40"/>
      <c r="B123" s="45"/>
      <c r="C123" s="27">
        <v>91.9</v>
      </c>
      <c r="D123" s="28">
        <v>-0.93</v>
      </c>
      <c r="E123" s="27">
        <v>6.82</v>
      </c>
      <c r="F123" s="27">
        <v>1.63</v>
      </c>
      <c r="G123" s="40"/>
      <c r="H123" s="40"/>
      <c r="I123" s="40"/>
      <c r="J123" s="42"/>
      <c r="K123" s="40"/>
      <c r="L123" s="40"/>
      <c r="M123" s="40"/>
      <c r="N123" s="43"/>
      <c r="O123" s="1"/>
    </row>
    <row r="124" spans="1:15" ht="14.25" x14ac:dyDescent="0.15">
      <c r="A124" s="40">
        <v>54</v>
      </c>
      <c r="B124" s="45"/>
      <c r="C124" s="27">
        <v>92.06</v>
      </c>
      <c r="D124" s="28">
        <v>-0.95</v>
      </c>
      <c r="E124" s="27">
        <v>7.6</v>
      </c>
      <c r="F124" s="27">
        <v>1.38</v>
      </c>
      <c r="G124" s="39">
        <f t="shared" si="416"/>
        <v>0</v>
      </c>
      <c r="H124" s="39">
        <f t="shared" ref="H124" si="469">ABS(D124-D125)</f>
        <v>0</v>
      </c>
      <c r="I124" s="39">
        <f t="shared" ref="I124" si="470">ABS(E124-E125)</f>
        <v>0.10999999999999943</v>
      </c>
      <c r="J124" s="41">
        <f t="shared" ref="J124" si="471">SQRT(G124*G124+H124*H124+I124*I124)</f>
        <v>0.10999999999999943</v>
      </c>
      <c r="K124" s="39">
        <f t="shared" ref="K124" si="472">AVERAGE(F124:F125)</f>
        <v>1.375</v>
      </c>
      <c r="L124" s="40">
        <f t="shared" ref="L124" si="473">K124*0.1</f>
        <v>0.13750000000000001</v>
      </c>
      <c r="M124" s="40">
        <f t="shared" ref="M124" si="474">ABS(F124-F125)</f>
        <v>9.9999999999997868E-3</v>
      </c>
      <c r="N124" s="43">
        <f t="shared" ref="N124" si="475">L124-M124</f>
        <v>0.12750000000000022</v>
      </c>
      <c r="O124" s="1"/>
    </row>
    <row r="125" spans="1:15" ht="14.25" x14ac:dyDescent="0.15">
      <c r="A125" s="40"/>
      <c r="B125" s="45"/>
      <c r="C125" s="27">
        <v>92.06</v>
      </c>
      <c r="D125" s="28">
        <v>-0.95</v>
      </c>
      <c r="E125" s="27">
        <v>7.49</v>
      </c>
      <c r="F125" s="27">
        <v>1.37</v>
      </c>
      <c r="G125" s="40"/>
      <c r="H125" s="40"/>
      <c r="I125" s="40"/>
      <c r="J125" s="42"/>
      <c r="K125" s="40"/>
      <c r="L125" s="40"/>
      <c r="M125" s="40"/>
      <c r="N125" s="43"/>
      <c r="O125" s="1"/>
    </row>
    <row r="126" spans="1:15" ht="30" customHeight="1" x14ac:dyDescent="0.15">
      <c r="A126" s="37" t="s">
        <v>27</v>
      </c>
      <c r="B126" s="38"/>
      <c r="C126" s="28">
        <f>AVERAGE(C108:C125)</f>
        <v>92.188888888888869</v>
      </c>
      <c r="D126" s="28">
        <f t="shared" ref="D126" si="476">AVERAGE(D108:D125)</f>
        <v>-0.96111111111111092</v>
      </c>
      <c r="E126" s="28">
        <f>AVERAGE(E108:E125)</f>
        <v>7.1122222222222229</v>
      </c>
      <c r="F126" s="28">
        <f t="shared" ref="F126" si="477">AVERAGE(F108:F125)</f>
        <v>1.4761111111111109</v>
      </c>
      <c r="G126" s="28">
        <f t="shared" ref="G126" si="478">AVERAGE(G108:G125)</f>
        <v>0.17777777777777873</v>
      </c>
      <c r="H126" s="28">
        <f t="shared" ref="H126" si="479">AVERAGE(H108:H125)</f>
        <v>3.3333333333333326E-2</v>
      </c>
      <c r="I126" s="28">
        <f t="shared" ref="I126" si="480">AVERAGE(I108:I125)</f>
        <v>0.10888888888888884</v>
      </c>
      <c r="J126" s="28">
        <f t="shared" ref="J126" si="481">AVERAGE(J108:J125)</f>
        <v>0.24813045184080229</v>
      </c>
      <c r="K126" s="28">
        <f t="shared" ref="K126" si="482">AVERAGE(K108:K125)</f>
        <v>1.4761111111111112</v>
      </c>
      <c r="L126" s="28">
        <f t="shared" ref="L126" si="483">AVERAGE(L108:L125)</f>
        <v>0.14761111111111111</v>
      </c>
      <c r="M126" s="28">
        <f t="shared" ref="M126" si="484">AVERAGE(M108:M125)</f>
        <v>5.444444444444442E-2</v>
      </c>
      <c r="N126" s="28">
        <f t="shared" ref="N126" si="485">AVERAGE(N108:N125)</f>
        <v>9.3166666666666689E-2</v>
      </c>
      <c r="O126" s="1"/>
    </row>
    <row r="127" spans="1:15" ht="30" customHeight="1" x14ac:dyDescent="0.15">
      <c r="A127" s="37" t="s">
        <v>28</v>
      </c>
      <c r="B127" s="38"/>
      <c r="C127" s="28">
        <f>STDEV(C108:C125)</f>
        <v>0.22723113107165827</v>
      </c>
      <c r="D127" s="28">
        <f t="shared" ref="D127:N127" si="486">STDEV(D108:D125)</f>
        <v>4.6764603115766558E-2</v>
      </c>
      <c r="E127" s="28">
        <f>STDEV(E108:E125)</f>
        <v>0.24611225453045882</v>
      </c>
      <c r="F127" s="28">
        <f t="shared" si="486"/>
        <v>9.8407250383823683E-2</v>
      </c>
      <c r="G127" s="28">
        <f t="shared" si="486"/>
        <v>0.20036078569532004</v>
      </c>
      <c r="H127" s="28">
        <f t="shared" si="486"/>
        <v>3.7749172176353735E-2</v>
      </c>
      <c r="I127" s="28">
        <f t="shared" si="486"/>
        <v>0.11229920351948686</v>
      </c>
      <c r="J127" s="28">
        <f t="shared" si="486"/>
        <v>0.18724366138254481</v>
      </c>
      <c r="K127" s="28">
        <f t="shared" si="486"/>
        <v>9.3900804635056831E-2</v>
      </c>
      <c r="L127" s="28">
        <f t="shared" si="486"/>
        <v>9.390080463505689E-3</v>
      </c>
      <c r="M127" s="28">
        <f t="shared" si="486"/>
        <v>5.0525021304080403E-2</v>
      </c>
      <c r="N127" s="28">
        <f t="shared" si="486"/>
        <v>4.9518304696344356E-2</v>
      </c>
      <c r="O127" s="1"/>
    </row>
    <row r="128" spans="1:15" ht="30" customHeight="1" x14ac:dyDescent="0.15">
      <c r="A128" s="37" t="s">
        <v>29</v>
      </c>
      <c r="B128" s="38"/>
      <c r="C128" s="28">
        <f>C127/C126*100</f>
        <v>0.24648429307519887</v>
      </c>
      <c r="D128" s="28">
        <f t="shared" ref="D128" si="487">D127/D126*100</f>
        <v>-4.8656812490392962</v>
      </c>
      <c r="E128" s="28">
        <f>E127/E126*100</f>
        <v>3.4604128898205424</v>
      </c>
      <c r="F128" s="28">
        <f t="shared" ref="F128" si="488">F127/F126*100</f>
        <v>6.6666560290132724</v>
      </c>
      <c r="G128" s="28">
        <f t="shared" ref="G128" si="489">G127/G126*100</f>
        <v>112.70294195361691</v>
      </c>
      <c r="H128" s="28">
        <f t="shared" ref="H128" si="490">H127/H126*100</f>
        <v>113.24751652906122</v>
      </c>
      <c r="I128" s="28">
        <f t="shared" ref="I128" si="491">I127/I126*100</f>
        <v>103.13192159952879</v>
      </c>
      <c r="J128" s="28">
        <f t="shared" ref="J128" si="492">J127/J126*100</f>
        <v>75.461782297756116</v>
      </c>
      <c r="K128" s="28">
        <f t="shared" ref="K128" si="493">K127/K126*100</f>
        <v>6.3613642583026833</v>
      </c>
      <c r="L128" s="28">
        <f t="shared" ref="L128" si="494">L127/L126*100</f>
        <v>6.3613642583026877</v>
      </c>
      <c r="M128" s="28">
        <f t="shared" ref="M128" si="495">M127/M126*100</f>
        <v>92.801059538106898</v>
      </c>
      <c r="N128" s="28">
        <f t="shared" ref="N128" si="496">N127/N126*100</f>
        <v>53.150237598938475</v>
      </c>
      <c r="O128" s="1"/>
    </row>
    <row r="129" spans="1:15" ht="14.25" x14ac:dyDescent="0.15">
      <c r="A129" s="40">
        <v>55</v>
      </c>
      <c r="B129" s="44" t="s">
        <v>31</v>
      </c>
      <c r="C129" s="27">
        <v>91.49</v>
      </c>
      <c r="D129" s="28">
        <v>-0.87</v>
      </c>
      <c r="E129" s="27">
        <v>7.33</v>
      </c>
      <c r="F129" s="27">
        <v>2.82</v>
      </c>
      <c r="G129" s="39">
        <f t="shared" si="423"/>
        <v>1.9999999999996021E-2</v>
      </c>
      <c r="H129" s="39">
        <f t="shared" ref="H129" si="497">ABS(D129-D130)</f>
        <v>0</v>
      </c>
      <c r="I129" s="39">
        <f t="shared" ref="I129" si="498">ABS(E129-E130)</f>
        <v>8.0000000000000071E-2</v>
      </c>
      <c r="J129" s="41">
        <f>SQRT(G129*G129+H129*H129+I129*I129)</f>
        <v>8.2462112512352317E-2</v>
      </c>
      <c r="K129" s="39">
        <f>AVERAGE(F129:F130)</f>
        <v>2.7249999999999996</v>
      </c>
      <c r="L129" s="40">
        <f>K129*0.1</f>
        <v>0.27249999999999996</v>
      </c>
      <c r="M129" s="40">
        <f>ABS(F129-F130)</f>
        <v>0.18999999999999995</v>
      </c>
      <c r="N129" s="43">
        <f>L129-M129</f>
        <v>8.2500000000000018E-2</v>
      </c>
      <c r="O129" s="1"/>
    </row>
    <row r="130" spans="1:15" ht="14.25" x14ac:dyDescent="0.15">
      <c r="A130" s="40"/>
      <c r="B130" s="45"/>
      <c r="C130" s="27">
        <v>91.47</v>
      </c>
      <c r="D130" s="28">
        <v>-0.87</v>
      </c>
      <c r="E130" s="27">
        <v>7.41</v>
      </c>
      <c r="F130" s="27">
        <v>2.63</v>
      </c>
      <c r="G130" s="40"/>
      <c r="H130" s="40"/>
      <c r="I130" s="40"/>
      <c r="J130" s="42"/>
      <c r="K130" s="40"/>
      <c r="L130" s="40"/>
      <c r="M130" s="40"/>
      <c r="N130" s="43"/>
      <c r="O130" s="1"/>
    </row>
    <row r="131" spans="1:15" ht="14.25" x14ac:dyDescent="0.15">
      <c r="A131" s="40">
        <v>56</v>
      </c>
      <c r="B131" s="45"/>
      <c r="C131" s="27">
        <v>91.59</v>
      </c>
      <c r="D131" s="28">
        <v>-0.89</v>
      </c>
      <c r="E131" s="27">
        <v>7.42</v>
      </c>
      <c r="F131" s="27">
        <v>2.61</v>
      </c>
      <c r="G131" s="39">
        <f t="shared" ref="G131" si="499">ABS(C131-C132)</f>
        <v>4.9999999999997158E-2</v>
      </c>
      <c r="H131" s="39">
        <f t="shared" ref="H131" si="500">ABS(D131-D132)</f>
        <v>1.0000000000000009E-2</v>
      </c>
      <c r="I131" s="39">
        <f t="shared" ref="I131" si="501">ABS(E131-E132)</f>
        <v>2.0000000000000462E-2</v>
      </c>
      <c r="J131" s="41">
        <f t="shared" ref="J131" si="502">SQRT(G131*G131+H131*H131+I131*I131)</f>
        <v>5.4772255750514191E-2</v>
      </c>
      <c r="K131" s="39">
        <f>AVERAGE(F131:F132)</f>
        <v>2.48</v>
      </c>
      <c r="L131" s="40">
        <f t="shared" ref="L131" si="503">K131*0.1</f>
        <v>0.248</v>
      </c>
      <c r="M131" s="40">
        <f t="shared" ref="M131" si="504">ABS(F131-F132)</f>
        <v>0.25999999999999979</v>
      </c>
      <c r="N131" s="43">
        <f t="shared" ref="N131" si="505">L131-M131</f>
        <v>-1.1999999999999789E-2</v>
      </c>
      <c r="O131" s="1"/>
    </row>
    <row r="132" spans="1:15" ht="14.25" x14ac:dyDescent="0.15">
      <c r="A132" s="40"/>
      <c r="B132" s="45"/>
      <c r="C132" s="27">
        <v>91.54</v>
      </c>
      <c r="D132" s="28">
        <v>-0.88</v>
      </c>
      <c r="E132" s="27">
        <v>7.44</v>
      </c>
      <c r="F132" s="27">
        <v>2.35</v>
      </c>
      <c r="G132" s="40"/>
      <c r="H132" s="40"/>
      <c r="I132" s="40"/>
      <c r="J132" s="42"/>
      <c r="K132" s="40"/>
      <c r="L132" s="40"/>
      <c r="M132" s="40"/>
      <c r="N132" s="43"/>
      <c r="O132" s="1"/>
    </row>
    <row r="133" spans="1:15" ht="14.25" x14ac:dyDescent="0.15">
      <c r="A133" s="40">
        <v>57</v>
      </c>
      <c r="B133" s="45"/>
      <c r="C133" s="27">
        <v>91.54</v>
      </c>
      <c r="D133" s="28">
        <v>-0.88</v>
      </c>
      <c r="E133" s="27">
        <v>7.48</v>
      </c>
      <c r="F133" s="27">
        <v>2.34</v>
      </c>
      <c r="G133" s="39">
        <f t="shared" ref="G133" si="506">ABS(C133-C134)</f>
        <v>0</v>
      </c>
      <c r="H133" s="39">
        <f t="shared" ref="H133" si="507">ABS(D133-D134)</f>
        <v>1.0000000000000009E-2</v>
      </c>
      <c r="I133" s="39">
        <f t="shared" ref="I133" si="508">ABS(E133-E134)</f>
        <v>3.9999999999999147E-2</v>
      </c>
      <c r="J133" s="41">
        <f t="shared" ref="J133" si="509">SQRT(G133*G133+H133*H133+I133*I133)</f>
        <v>4.1231056256175784E-2</v>
      </c>
      <c r="K133" s="39">
        <f t="shared" ref="K133" si="510">AVERAGE(F133:F134)</f>
        <v>2.4050000000000002</v>
      </c>
      <c r="L133" s="40">
        <f t="shared" ref="L133" si="511">K133*0.1</f>
        <v>0.24050000000000005</v>
      </c>
      <c r="M133" s="40">
        <f t="shared" ref="M133" si="512">ABS(F133-F134)</f>
        <v>0.13000000000000034</v>
      </c>
      <c r="N133" s="43">
        <f t="shared" ref="N133" si="513">L133-M133</f>
        <v>0.11049999999999971</v>
      </c>
      <c r="O133" s="1"/>
    </row>
    <row r="134" spans="1:15" ht="14.25" x14ac:dyDescent="0.15">
      <c r="A134" s="40"/>
      <c r="B134" s="45"/>
      <c r="C134" s="27">
        <v>91.54</v>
      </c>
      <c r="D134" s="28">
        <v>-0.89</v>
      </c>
      <c r="E134" s="27">
        <v>7.52</v>
      </c>
      <c r="F134" s="27">
        <v>2.4700000000000002</v>
      </c>
      <c r="G134" s="40"/>
      <c r="H134" s="40"/>
      <c r="I134" s="40"/>
      <c r="J134" s="42"/>
      <c r="K134" s="40"/>
      <c r="L134" s="40"/>
      <c r="M134" s="40"/>
      <c r="N134" s="43"/>
      <c r="O134" s="1"/>
    </row>
    <row r="135" spans="1:15" ht="14.25" x14ac:dyDescent="0.15">
      <c r="A135" s="40">
        <v>58</v>
      </c>
      <c r="B135" s="45"/>
      <c r="C135" s="27">
        <v>91.28</v>
      </c>
      <c r="D135" s="28">
        <v>-0.81</v>
      </c>
      <c r="E135" s="27">
        <v>7.42</v>
      </c>
      <c r="F135" s="27">
        <v>2.34</v>
      </c>
      <c r="G135" s="39">
        <f t="shared" ref="G135" si="514">ABS(C135-C136)</f>
        <v>9.9999999999994316E-2</v>
      </c>
      <c r="H135" s="39">
        <f t="shared" ref="H135" si="515">ABS(D135-D136)</f>
        <v>2.0000000000000018E-2</v>
      </c>
      <c r="I135" s="39">
        <f t="shared" ref="I135" si="516">ABS(E135-E136)</f>
        <v>4.9999999999999822E-2</v>
      </c>
      <c r="J135" s="41">
        <f t="shared" ref="J135" si="517">SQRT(G135*G135+H135*H135+I135*I135)</f>
        <v>0.11357816691600039</v>
      </c>
      <c r="K135" s="39">
        <f t="shared" ref="K135" si="518">AVERAGE(F135:F136)</f>
        <v>2.5</v>
      </c>
      <c r="L135" s="40">
        <f t="shared" ref="L135" si="519">K135*0.1</f>
        <v>0.25</v>
      </c>
      <c r="M135" s="40">
        <f t="shared" ref="M135" si="520">ABS(F135-F136)</f>
        <v>0.32000000000000028</v>
      </c>
      <c r="N135" s="43">
        <f t="shared" ref="N135" si="521">L135-M135</f>
        <v>-7.0000000000000284E-2</v>
      </c>
      <c r="O135" s="1"/>
    </row>
    <row r="136" spans="1:15" ht="14.25" x14ac:dyDescent="0.15">
      <c r="A136" s="40"/>
      <c r="B136" s="45"/>
      <c r="C136" s="27">
        <v>91.18</v>
      </c>
      <c r="D136" s="28">
        <v>-0.79</v>
      </c>
      <c r="E136" s="27">
        <v>7.37</v>
      </c>
      <c r="F136" s="27">
        <v>2.66</v>
      </c>
      <c r="G136" s="40"/>
      <c r="H136" s="40"/>
      <c r="I136" s="40"/>
      <c r="J136" s="42"/>
      <c r="K136" s="40"/>
      <c r="L136" s="40"/>
      <c r="M136" s="40"/>
      <c r="N136" s="43"/>
      <c r="O136" s="1"/>
    </row>
    <row r="137" spans="1:15" ht="14.25" x14ac:dyDescent="0.15">
      <c r="A137" s="40">
        <v>59</v>
      </c>
      <c r="B137" s="45"/>
      <c r="C137" s="27">
        <v>91.06</v>
      </c>
      <c r="D137" s="28">
        <v>-0.74</v>
      </c>
      <c r="E137" s="27">
        <v>7.23</v>
      </c>
      <c r="F137" s="27">
        <v>3.16</v>
      </c>
      <c r="G137" s="39">
        <f t="shared" si="384"/>
        <v>0.17000000000000171</v>
      </c>
      <c r="H137" s="39">
        <f t="shared" ref="H137" si="522">ABS(D137-D138)</f>
        <v>1.0000000000000009E-2</v>
      </c>
      <c r="I137" s="39">
        <f t="shared" ref="I137" si="523">ABS(E137-E138)</f>
        <v>0.34999999999999964</v>
      </c>
      <c r="J137" s="41">
        <f t="shared" ref="J137" si="524">SQRT(G137*G137+H137*H137+I137*I137)</f>
        <v>0.38923000912057171</v>
      </c>
      <c r="K137" s="39">
        <f t="shared" ref="K137" si="525">AVERAGE(F137:F138)</f>
        <v>3.0650000000000004</v>
      </c>
      <c r="L137" s="40">
        <f t="shared" ref="L137" si="526">K137*0.1</f>
        <v>0.30650000000000005</v>
      </c>
      <c r="M137" s="40">
        <f t="shared" ref="M137" si="527">ABS(F137-F138)</f>
        <v>0.18999999999999995</v>
      </c>
      <c r="N137" s="43">
        <f t="shared" ref="N137" si="528">L137-M137</f>
        <v>0.1165000000000001</v>
      </c>
      <c r="O137" s="1"/>
    </row>
    <row r="138" spans="1:15" ht="14.25" x14ac:dyDescent="0.15">
      <c r="A138" s="40"/>
      <c r="B138" s="45"/>
      <c r="C138" s="27">
        <v>90.89</v>
      </c>
      <c r="D138" s="28">
        <v>-0.75</v>
      </c>
      <c r="E138" s="27">
        <v>7.58</v>
      </c>
      <c r="F138" s="27">
        <v>2.97</v>
      </c>
      <c r="G138" s="40"/>
      <c r="H138" s="40"/>
      <c r="I138" s="40"/>
      <c r="J138" s="42"/>
      <c r="K138" s="40"/>
      <c r="L138" s="40"/>
      <c r="M138" s="40"/>
      <c r="N138" s="43"/>
      <c r="O138" s="1"/>
    </row>
    <row r="139" spans="1:15" ht="14.25" x14ac:dyDescent="0.15">
      <c r="A139" s="40">
        <v>60</v>
      </c>
      <c r="B139" s="45"/>
      <c r="C139" s="27">
        <v>91.15</v>
      </c>
      <c r="D139" s="28">
        <v>-0.79</v>
      </c>
      <c r="E139" s="27">
        <v>7.4</v>
      </c>
      <c r="F139" s="27">
        <v>2.52</v>
      </c>
      <c r="G139" s="39">
        <f t="shared" si="413"/>
        <v>0.10999999999999943</v>
      </c>
      <c r="H139" s="39">
        <f t="shared" ref="H139" si="529">ABS(D139-D140)</f>
        <v>2.0000000000000018E-2</v>
      </c>
      <c r="I139" s="39">
        <f t="shared" ref="I139" si="530">ABS(E139-E140)</f>
        <v>1.0000000000000675E-2</v>
      </c>
      <c r="J139" s="41">
        <f t="shared" ref="J139" si="531">SQRT(G139*G139+H139*H139+I139*I139)</f>
        <v>0.11224972160321775</v>
      </c>
      <c r="K139" s="39">
        <f t="shared" ref="K139" si="532">AVERAGE(F139:F140)</f>
        <v>2.5149999999999997</v>
      </c>
      <c r="L139" s="40">
        <f t="shared" ref="L139" si="533">K139*0.1</f>
        <v>0.2515</v>
      </c>
      <c r="M139" s="40">
        <f t="shared" ref="M139" si="534">ABS(F139-F140)</f>
        <v>1.0000000000000231E-2</v>
      </c>
      <c r="N139" s="43">
        <f t="shared" ref="N139" si="535">L139-M139</f>
        <v>0.24149999999999977</v>
      </c>
      <c r="O139" s="1"/>
    </row>
    <row r="140" spans="1:15" ht="14.25" x14ac:dyDescent="0.15">
      <c r="A140" s="40"/>
      <c r="B140" s="45"/>
      <c r="C140" s="27">
        <v>91.04</v>
      </c>
      <c r="D140" s="28">
        <v>-0.77</v>
      </c>
      <c r="E140" s="27">
        <v>7.39</v>
      </c>
      <c r="F140" s="27">
        <v>2.5099999999999998</v>
      </c>
      <c r="G140" s="40"/>
      <c r="H140" s="40"/>
      <c r="I140" s="40"/>
      <c r="J140" s="42"/>
      <c r="K140" s="40"/>
      <c r="L140" s="40"/>
      <c r="M140" s="40"/>
      <c r="N140" s="43"/>
      <c r="O140" s="1"/>
    </row>
    <row r="141" spans="1:15" ht="14.25" x14ac:dyDescent="0.15">
      <c r="A141" s="40">
        <v>61</v>
      </c>
      <c r="B141" s="45"/>
      <c r="C141" s="27">
        <v>91.32</v>
      </c>
      <c r="D141" s="28">
        <v>-0.87</v>
      </c>
      <c r="E141" s="27">
        <v>7.54</v>
      </c>
      <c r="F141" s="27">
        <v>2.93</v>
      </c>
      <c r="G141" s="39">
        <f t="shared" si="416"/>
        <v>0.44999999999998863</v>
      </c>
      <c r="H141" s="39">
        <f t="shared" ref="H141" si="536">ABS(D141-D142)</f>
        <v>8.9999999999999969E-2</v>
      </c>
      <c r="I141" s="39">
        <f t="shared" ref="I141" si="537">ABS(E141-E142)</f>
        <v>3.0000000000000249E-2</v>
      </c>
      <c r="J141" s="41">
        <f t="shared" ref="J141" si="538">SQRT(G141*G141+H141*H141+I141*I141)</f>
        <v>0.45989129150266561</v>
      </c>
      <c r="K141" s="39">
        <f t="shared" ref="K141" si="539">AVERAGE(F141:F142)</f>
        <v>2.89</v>
      </c>
      <c r="L141" s="40">
        <f t="shared" ref="L141" si="540">K141*0.1</f>
        <v>0.28900000000000003</v>
      </c>
      <c r="M141" s="40">
        <f t="shared" ref="M141" si="541">ABS(F141-F142)</f>
        <v>8.0000000000000071E-2</v>
      </c>
      <c r="N141" s="43">
        <f t="shared" ref="N141" si="542">L141-M141</f>
        <v>0.20899999999999996</v>
      </c>
      <c r="O141" s="1"/>
    </row>
    <row r="142" spans="1:15" ht="14.25" x14ac:dyDescent="0.15">
      <c r="A142" s="40"/>
      <c r="B142" s="45"/>
      <c r="C142" s="27">
        <v>90.87</v>
      </c>
      <c r="D142" s="28">
        <v>-0.78</v>
      </c>
      <c r="E142" s="27">
        <v>7.51</v>
      </c>
      <c r="F142" s="27">
        <v>2.85</v>
      </c>
      <c r="G142" s="40"/>
      <c r="H142" s="40"/>
      <c r="I142" s="40"/>
      <c r="J142" s="42"/>
      <c r="K142" s="40"/>
      <c r="L142" s="40"/>
      <c r="M142" s="40"/>
      <c r="N142" s="43"/>
      <c r="O142" s="1"/>
    </row>
    <row r="143" spans="1:15" ht="14.25" x14ac:dyDescent="0.15">
      <c r="A143" s="40">
        <v>62</v>
      </c>
      <c r="B143" s="45"/>
      <c r="C143" s="27">
        <v>91.39</v>
      </c>
      <c r="D143" s="28">
        <v>-0.88</v>
      </c>
      <c r="E143" s="27">
        <v>7.61</v>
      </c>
      <c r="F143" s="27">
        <v>2.78</v>
      </c>
      <c r="G143" s="39">
        <f t="shared" si="423"/>
        <v>0.57000000000000739</v>
      </c>
      <c r="H143" s="39">
        <f t="shared" ref="H143" si="543">ABS(D143-D144)</f>
        <v>0.10999999999999999</v>
      </c>
      <c r="I143" s="39">
        <f t="shared" ref="I143" si="544">ABS(E143-E144)</f>
        <v>7.0000000000000284E-2</v>
      </c>
      <c r="J143" s="41">
        <f t="shared" ref="J143" si="545">SQRT(G143*G143+H143*H143+I143*I143)</f>
        <v>0.58472215624175594</v>
      </c>
      <c r="K143" s="39">
        <f t="shared" ref="K143" si="546">AVERAGE(F143:F144)</f>
        <v>2.8099999999999996</v>
      </c>
      <c r="L143" s="40">
        <f t="shared" ref="L143" si="547">K143*0.1</f>
        <v>0.28099999999999997</v>
      </c>
      <c r="M143" s="40">
        <f t="shared" ref="M143" si="548">ABS(F143-F144)</f>
        <v>6.0000000000000053E-2</v>
      </c>
      <c r="N143" s="43">
        <f t="shared" ref="N143" si="549">L143-M143</f>
        <v>0.22099999999999992</v>
      </c>
      <c r="O143" s="1"/>
    </row>
    <row r="144" spans="1:15" ht="14.25" x14ac:dyDescent="0.15">
      <c r="A144" s="40"/>
      <c r="B144" s="45"/>
      <c r="C144" s="27">
        <v>90.82</v>
      </c>
      <c r="D144" s="28">
        <v>-0.77</v>
      </c>
      <c r="E144" s="27">
        <v>7.54</v>
      </c>
      <c r="F144" s="27">
        <v>2.84</v>
      </c>
      <c r="G144" s="40"/>
      <c r="H144" s="40"/>
      <c r="I144" s="40"/>
      <c r="J144" s="42"/>
      <c r="K144" s="40"/>
      <c r="L144" s="40"/>
      <c r="M144" s="40"/>
      <c r="N144" s="43"/>
      <c r="O144" s="1"/>
    </row>
    <row r="145" spans="1:15" ht="14.25" x14ac:dyDescent="0.15">
      <c r="A145" s="40">
        <v>63</v>
      </c>
      <c r="B145" s="45"/>
      <c r="C145" s="27">
        <v>91.57</v>
      </c>
      <c r="D145" s="28">
        <v>-0.9</v>
      </c>
      <c r="E145" s="27">
        <v>7.91</v>
      </c>
      <c r="F145" s="27">
        <v>2.64</v>
      </c>
      <c r="G145" s="39">
        <f t="shared" ref="G145" si="550">ABS(C145-C146)</f>
        <v>9.9999999999994316E-2</v>
      </c>
      <c r="H145" s="39">
        <f t="shared" ref="H145" si="551">ABS(D145-D146)</f>
        <v>1.0000000000000009E-2</v>
      </c>
      <c r="I145" s="39">
        <f t="shared" ref="I145" si="552">ABS(E145-E146)</f>
        <v>8.0000000000000071E-2</v>
      </c>
      <c r="J145" s="41">
        <f t="shared" ref="J145" si="553">SQRT(G145*G145+H145*H145+I145*I145)</f>
        <v>0.12845232578664692</v>
      </c>
      <c r="K145" s="39">
        <f t="shared" ref="K145" si="554">AVERAGE(F145:F146)</f>
        <v>2.7050000000000001</v>
      </c>
      <c r="L145" s="40">
        <f t="shared" ref="L145" si="555">K145*0.1</f>
        <v>0.27050000000000002</v>
      </c>
      <c r="M145" s="40">
        <f t="shared" ref="M145" si="556">ABS(F145-F146)</f>
        <v>0.12999999999999989</v>
      </c>
      <c r="N145" s="43">
        <f t="shared" ref="N145" si="557">L145-M145</f>
        <v>0.14050000000000012</v>
      </c>
      <c r="O145" s="1"/>
    </row>
    <row r="146" spans="1:15" ht="14.25" x14ac:dyDescent="0.15">
      <c r="A146" s="40"/>
      <c r="B146" s="45"/>
      <c r="C146" s="27">
        <v>91.47</v>
      </c>
      <c r="D146" s="28">
        <v>-0.89</v>
      </c>
      <c r="E146" s="27">
        <v>7.99</v>
      </c>
      <c r="F146" s="27">
        <v>2.77</v>
      </c>
      <c r="G146" s="40"/>
      <c r="H146" s="40"/>
      <c r="I146" s="40"/>
      <c r="J146" s="42"/>
      <c r="K146" s="40"/>
      <c r="L146" s="40"/>
      <c r="M146" s="40"/>
      <c r="N146" s="43"/>
      <c r="O146" s="1"/>
    </row>
    <row r="147" spans="1:15" ht="30" customHeight="1" x14ac:dyDescent="0.15">
      <c r="A147" s="37" t="s">
        <v>27</v>
      </c>
      <c r="B147" s="38"/>
      <c r="C147" s="28">
        <f>AVERAGE(C129:C146)</f>
        <v>91.289444444444428</v>
      </c>
      <c r="D147" s="28">
        <f t="shared" ref="D147" si="558">AVERAGE(D129:D146)</f>
        <v>-0.83444444444444443</v>
      </c>
      <c r="E147" s="28">
        <f t="shared" ref="E147" si="559">AVERAGE(E129:E146)</f>
        <v>7.5049999999999999</v>
      </c>
      <c r="F147" s="28">
        <f t="shared" ref="F147" si="560">AVERAGE(F129:F146)</f>
        <v>2.6772222222222224</v>
      </c>
      <c r="G147" s="28">
        <f t="shared" ref="G147" si="561">AVERAGE(G129:G146)</f>
        <v>0.1744444444444421</v>
      </c>
      <c r="H147" s="28">
        <f t="shared" ref="H147" si="562">AVERAGE(H129:H146)</f>
        <v>3.1111111111111114E-2</v>
      </c>
      <c r="I147" s="28">
        <f>AVERAGE(I129:I146)</f>
        <v>8.1111111111111162E-2</v>
      </c>
      <c r="J147" s="28">
        <f t="shared" ref="J147" si="563">AVERAGE(J129:J146)</f>
        <v>0.21850989952110009</v>
      </c>
      <c r="K147" s="28">
        <f t="shared" ref="K147" si="564">AVERAGE(K129:K146)</f>
        <v>2.6772222222222219</v>
      </c>
      <c r="L147" s="28">
        <f t="shared" ref="L147" si="565">AVERAGE(L129:L146)</f>
        <v>0.26772222222222225</v>
      </c>
      <c r="M147" s="28">
        <f t="shared" ref="M147" si="566">AVERAGE(M129:M146)</f>
        <v>0.15222222222222229</v>
      </c>
      <c r="N147" s="28">
        <f>AVERAGE(N129:N146)</f>
        <v>0.11549999999999994</v>
      </c>
      <c r="O147" s="1"/>
    </row>
    <row r="148" spans="1:15" ht="30" customHeight="1" x14ac:dyDescent="0.15">
      <c r="A148" s="37" t="s">
        <v>28</v>
      </c>
      <c r="B148" s="38"/>
      <c r="C148" s="28">
        <f>STDEV(C129:C146)</f>
        <v>0.26302476336609604</v>
      </c>
      <c r="D148" s="28">
        <f t="shared" ref="D148:M148" si="567">STDEV(D129:D146)</f>
        <v>5.7109000240739033E-2</v>
      </c>
      <c r="E148" s="28">
        <f t="shared" si="567"/>
        <v>0.18718502956731783</v>
      </c>
      <c r="F148" s="28">
        <f t="shared" si="567"/>
        <v>0.232272799946036</v>
      </c>
      <c r="G148" s="28">
        <f t="shared" si="567"/>
        <v>0.19919281557771654</v>
      </c>
      <c r="H148" s="28">
        <f t="shared" si="567"/>
        <v>3.9826010484495057E-2</v>
      </c>
      <c r="I148" s="28">
        <f>STDEV(I129:I146)</f>
        <v>0.1039764930698813</v>
      </c>
      <c r="J148" s="28">
        <f t="shared" si="567"/>
        <v>0.20269460226579306</v>
      </c>
      <c r="K148" s="28">
        <f t="shared" si="567"/>
        <v>0.2199589608187047</v>
      </c>
      <c r="L148" s="28">
        <f t="shared" si="567"/>
        <v>2.199589608187047E-2</v>
      </c>
      <c r="M148" s="28">
        <f t="shared" si="567"/>
        <v>9.8460369918279472E-2</v>
      </c>
      <c r="N148" s="28">
        <f>STDEV(N129:N146)</f>
        <v>0.10497321086829725</v>
      </c>
      <c r="O148" s="1"/>
    </row>
    <row r="149" spans="1:15" ht="30" customHeight="1" x14ac:dyDescent="0.15">
      <c r="A149" s="37" t="s">
        <v>29</v>
      </c>
      <c r="B149" s="38"/>
      <c r="C149" s="28">
        <f>C148/C147*100</f>
        <v>0.28812177022959512</v>
      </c>
      <c r="D149" s="28">
        <f t="shared" ref="D149" si="568">D148/D147*100</f>
        <v>-6.8439547558808433</v>
      </c>
      <c r="E149" s="28">
        <f t="shared" ref="E149" si="569">E148/E147*100</f>
        <v>2.4941376358070331</v>
      </c>
      <c r="F149" s="28">
        <f t="shared" ref="F149" si="570">F148/F147*100</f>
        <v>8.6758879415410828</v>
      </c>
      <c r="G149" s="28">
        <f t="shared" ref="G149" si="571">G148/G147*100</f>
        <v>114.18696434391546</v>
      </c>
      <c r="H149" s="28">
        <f t="shared" ref="H149" si="572">H148/H147*100</f>
        <v>128.01217655730554</v>
      </c>
      <c r="I149" s="28">
        <f t="shared" ref="I149" si="573">I148/I147*100</f>
        <v>128.19019693547003</v>
      </c>
      <c r="J149" s="28">
        <f t="shared" ref="J149" si="574">J148/J147*100</f>
        <v>92.762205607174394</v>
      </c>
      <c r="K149" s="28">
        <f t="shared" ref="K149" si="575">K148/K147*100</f>
        <v>8.2159396031058005</v>
      </c>
      <c r="L149" s="28">
        <f t="shared" ref="L149" si="576">L148/L147*100</f>
        <v>8.2159396031057987</v>
      </c>
      <c r="M149" s="28">
        <f t="shared" ref="M149" si="577">M148/M147*100</f>
        <v>64.681994836825908</v>
      </c>
      <c r="N149" s="28">
        <f>N148/N147*100</f>
        <v>90.885896855668662</v>
      </c>
      <c r="O149" s="1"/>
    </row>
    <row r="150" spans="1:15" ht="14.25" x14ac:dyDescent="0.15">
      <c r="A150" s="40">
        <v>64</v>
      </c>
      <c r="B150" s="49" t="s">
        <v>32</v>
      </c>
      <c r="C150" s="27">
        <v>91.36</v>
      </c>
      <c r="D150" s="28">
        <v>-0.85</v>
      </c>
      <c r="E150" s="27">
        <v>7.36</v>
      </c>
      <c r="F150" s="27">
        <v>2.64</v>
      </c>
      <c r="G150" s="39">
        <f t="shared" ref="G150" si="578">ABS(C150-C151)</f>
        <v>0</v>
      </c>
      <c r="H150" s="39">
        <f t="shared" ref="H150" si="579">ABS(D150-D151)</f>
        <v>0</v>
      </c>
      <c r="I150" s="39">
        <f t="shared" ref="I150" si="580">ABS(E150-E151)</f>
        <v>0</v>
      </c>
      <c r="J150" s="41">
        <f>SQRT(G150*G150+H150*H150+I150*I150)</f>
        <v>0</v>
      </c>
      <c r="K150" s="39">
        <f>AVERAGE(F150:F151)</f>
        <v>2.59</v>
      </c>
      <c r="L150" s="40">
        <f>K150*0.1</f>
        <v>0.25900000000000001</v>
      </c>
      <c r="M150" s="40">
        <f>ABS(F150-F151)</f>
        <v>0.10000000000000009</v>
      </c>
      <c r="N150" s="43">
        <f>L150-M150</f>
        <v>0.15899999999999992</v>
      </c>
      <c r="O150" s="1"/>
    </row>
    <row r="151" spans="1:15" ht="14.25" customHeight="1" x14ac:dyDescent="0.15">
      <c r="A151" s="40"/>
      <c r="B151" s="50"/>
      <c r="C151" s="27">
        <v>91.36</v>
      </c>
      <c r="D151" s="28">
        <v>-0.85</v>
      </c>
      <c r="E151" s="27">
        <v>7.36</v>
      </c>
      <c r="F151" s="27">
        <v>2.54</v>
      </c>
      <c r="G151" s="40"/>
      <c r="H151" s="40"/>
      <c r="I151" s="40"/>
      <c r="J151" s="42"/>
      <c r="K151" s="40"/>
      <c r="L151" s="40"/>
      <c r="M151" s="40"/>
      <c r="N151" s="43"/>
      <c r="O151" s="1"/>
    </row>
    <row r="152" spans="1:15" ht="14.25" x14ac:dyDescent="0.15">
      <c r="A152" s="40">
        <v>65</v>
      </c>
      <c r="B152" s="50"/>
      <c r="C152" s="27">
        <v>91.38</v>
      </c>
      <c r="D152" s="28">
        <v>-0.85</v>
      </c>
      <c r="E152" s="27">
        <v>7.24</v>
      </c>
      <c r="F152" s="27">
        <v>2.81</v>
      </c>
      <c r="G152" s="39">
        <f t="shared" ref="G152" si="581">ABS(C152-C153)</f>
        <v>1.9999999999996021E-2</v>
      </c>
      <c r="H152" s="39">
        <f t="shared" ref="H152" si="582">ABS(D152-D153)</f>
        <v>0</v>
      </c>
      <c r="I152" s="39">
        <f t="shared" ref="I152" si="583">ABS(E152-E153)</f>
        <v>0</v>
      </c>
      <c r="J152" s="41">
        <f t="shared" ref="J152" si="584">SQRT(G152*G152+H152*H152+I152*I152)</f>
        <v>1.9999999999996021E-2</v>
      </c>
      <c r="K152" s="39">
        <f>AVERAGE(F152:F153)</f>
        <v>2.7450000000000001</v>
      </c>
      <c r="L152" s="40">
        <f t="shared" ref="L152" si="585">K152*0.1</f>
        <v>0.27450000000000002</v>
      </c>
      <c r="M152" s="40">
        <f t="shared" ref="M152" si="586">ABS(F152-F153)</f>
        <v>0.12999999999999989</v>
      </c>
      <c r="N152" s="43">
        <f t="shared" ref="N152" si="587">L152-M152</f>
        <v>0.14450000000000013</v>
      </c>
      <c r="O152" s="1"/>
    </row>
    <row r="153" spans="1:15" ht="14.25" x14ac:dyDescent="0.15">
      <c r="A153" s="40"/>
      <c r="B153" s="50"/>
      <c r="C153" s="27">
        <v>91.36</v>
      </c>
      <c r="D153" s="28">
        <v>-0.85</v>
      </c>
      <c r="E153" s="27">
        <v>7.24</v>
      </c>
      <c r="F153" s="27">
        <v>2.68</v>
      </c>
      <c r="G153" s="40"/>
      <c r="H153" s="40"/>
      <c r="I153" s="40"/>
      <c r="J153" s="42"/>
      <c r="K153" s="40"/>
      <c r="L153" s="40"/>
      <c r="M153" s="40"/>
      <c r="N153" s="43"/>
      <c r="O153" s="1"/>
    </row>
    <row r="154" spans="1:15" ht="14.25" customHeight="1" x14ac:dyDescent="0.15">
      <c r="A154" s="40">
        <v>66</v>
      </c>
      <c r="B154" s="50"/>
      <c r="C154" s="27">
        <v>91.39</v>
      </c>
      <c r="D154" s="28">
        <v>-0.85</v>
      </c>
      <c r="E154" s="27">
        <v>7.42</v>
      </c>
      <c r="F154" s="27">
        <v>2.6</v>
      </c>
      <c r="G154" s="39">
        <f t="shared" si="384"/>
        <v>0</v>
      </c>
      <c r="H154" s="39">
        <f t="shared" ref="H154" si="588">ABS(D154-D155)</f>
        <v>0</v>
      </c>
      <c r="I154" s="39">
        <f t="shared" ref="I154" si="589">ABS(E154-E155)</f>
        <v>3.0000000000000249E-2</v>
      </c>
      <c r="J154" s="41">
        <f t="shared" ref="J154" si="590">SQRT(G154*G154+H154*H154+I154*I154)</f>
        <v>3.0000000000000249E-2</v>
      </c>
      <c r="K154" s="39">
        <f t="shared" ref="K154" si="591">AVERAGE(F154:F155)</f>
        <v>2.62</v>
      </c>
      <c r="L154" s="40">
        <f t="shared" ref="L154" si="592">K154*0.1</f>
        <v>0.26200000000000001</v>
      </c>
      <c r="M154" s="40">
        <f t="shared" ref="M154" si="593">ABS(F154-F155)</f>
        <v>4.0000000000000036E-2</v>
      </c>
      <c r="N154" s="43">
        <f t="shared" ref="N154" si="594">L154-M154</f>
        <v>0.22199999999999998</v>
      </c>
      <c r="O154" s="1"/>
    </row>
    <row r="155" spans="1:15" ht="14.25" x14ac:dyDescent="0.15">
      <c r="A155" s="40"/>
      <c r="B155" s="50"/>
      <c r="C155" s="27">
        <v>91.39</v>
      </c>
      <c r="D155" s="28">
        <v>-0.85</v>
      </c>
      <c r="E155" s="27">
        <v>7.39</v>
      </c>
      <c r="F155" s="27">
        <v>2.64</v>
      </c>
      <c r="G155" s="40"/>
      <c r="H155" s="40"/>
      <c r="I155" s="40"/>
      <c r="J155" s="42"/>
      <c r="K155" s="40"/>
      <c r="L155" s="40"/>
      <c r="M155" s="40"/>
      <c r="N155" s="43"/>
      <c r="O155" s="1"/>
    </row>
    <row r="156" spans="1:15" ht="14.25" x14ac:dyDescent="0.15">
      <c r="A156" s="40">
        <v>67</v>
      </c>
      <c r="B156" s="50"/>
      <c r="C156" s="27">
        <v>91.03</v>
      </c>
      <c r="D156" s="28">
        <v>-0.76</v>
      </c>
      <c r="E156" s="27">
        <v>7.25</v>
      </c>
      <c r="F156" s="27">
        <v>2.81</v>
      </c>
      <c r="G156" s="39">
        <f t="shared" si="413"/>
        <v>0.17000000000000171</v>
      </c>
      <c r="H156" s="39">
        <f t="shared" ref="H156" si="595">ABS(D156-D157)</f>
        <v>4.0000000000000036E-2</v>
      </c>
      <c r="I156" s="39">
        <f t="shared" ref="I156" si="596">ABS(E156-E157)</f>
        <v>0.13999999999999968</v>
      </c>
      <c r="J156" s="41">
        <f t="shared" ref="J156" si="597">SQRT(G156*G156+H156*H156+I156*I156)</f>
        <v>0.22383029285599501</v>
      </c>
      <c r="K156" s="39">
        <f t="shared" ref="K156" si="598">AVERAGE(F156:F157)</f>
        <v>2.7949999999999999</v>
      </c>
      <c r="L156" s="40">
        <f t="shared" ref="L156" si="599">K156*0.1</f>
        <v>0.27950000000000003</v>
      </c>
      <c r="M156" s="40">
        <f t="shared" ref="M156" si="600">ABS(F156-F157)</f>
        <v>3.0000000000000249E-2</v>
      </c>
      <c r="N156" s="43">
        <f t="shared" ref="N156" si="601">L156-M156</f>
        <v>0.24949999999999978</v>
      </c>
      <c r="O156" s="1"/>
    </row>
    <row r="157" spans="1:15" ht="14.25" x14ac:dyDescent="0.15">
      <c r="A157" s="40"/>
      <c r="B157" s="50"/>
      <c r="C157" s="27">
        <v>90.86</v>
      </c>
      <c r="D157" s="28">
        <v>-0.72</v>
      </c>
      <c r="E157" s="27">
        <v>7.11</v>
      </c>
      <c r="F157" s="27">
        <v>2.78</v>
      </c>
      <c r="G157" s="40"/>
      <c r="H157" s="40"/>
      <c r="I157" s="40"/>
      <c r="J157" s="42"/>
      <c r="K157" s="40"/>
      <c r="L157" s="40"/>
      <c r="M157" s="40"/>
      <c r="N157" s="43"/>
      <c r="O157" s="1"/>
    </row>
    <row r="158" spans="1:15" ht="14.25" x14ac:dyDescent="0.15">
      <c r="A158" s="40">
        <v>68</v>
      </c>
      <c r="B158" s="50"/>
      <c r="C158" s="27">
        <v>91.32</v>
      </c>
      <c r="D158" s="28">
        <v>-0.81</v>
      </c>
      <c r="E158" s="27">
        <v>7.25</v>
      </c>
      <c r="F158" s="27">
        <v>2.63</v>
      </c>
      <c r="G158" s="39">
        <f t="shared" si="416"/>
        <v>0.40999999999999659</v>
      </c>
      <c r="H158" s="39">
        <f t="shared" ref="H158" si="602">ABS(D158-D159)</f>
        <v>6.0000000000000053E-2</v>
      </c>
      <c r="I158" s="39">
        <f t="shared" ref="I158" si="603">ABS(E158-E159)</f>
        <v>0.25999999999999979</v>
      </c>
      <c r="J158" s="41">
        <f t="shared" ref="J158" si="604">SQRT(G158*G158+H158*H158+I158*I158)</f>
        <v>0.48918299234539736</v>
      </c>
      <c r="K158" s="39">
        <f t="shared" ref="K158" si="605">AVERAGE(F158:F159)</f>
        <v>2.7149999999999999</v>
      </c>
      <c r="L158" s="40">
        <f t="shared" ref="L158" si="606">K158*0.1</f>
        <v>0.27150000000000002</v>
      </c>
      <c r="M158" s="40">
        <f t="shared" ref="M158" si="607">ABS(F158-F159)</f>
        <v>0.16999999999999993</v>
      </c>
      <c r="N158" s="43">
        <f t="shared" ref="N158" si="608">L158-M158</f>
        <v>0.10150000000000009</v>
      </c>
      <c r="O158" s="1"/>
    </row>
    <row r="159" spans="1:15" ht="14.25" x14ac:dyDescent="0.15">
      <c r="A159" s="40"/>
      <c r="B159" s="50"/>
      <c r="C159" s="27">
        <v>90.91</v>
      </c>
      <c r="D159" s="28">
        <v>-0.75</v>
      </c>
      <c r="E159" s="27">
        <v>7.51</v>
      </c>
      <c r="F159" s="27">
        <v>2.8</v>
      </c>
      <c r="G159" s="40"/>
      <c r="H159" s="40"/>
      <c r="I159" s="40"/>
      <c r="J159" s="42"/>
      <c r="K159" s="40"/>
      <c r="L159" s="40"/>
      <c r="M159" s="40"/>
      <c r="N159" s="43"/>
      <c r="O159" s="1"/>
    </row>
    <row r="160" spans="1:15" ht="14.25" x14ac:dyDescent="0.15">
      <c r="A160" s="40">
        <v>69</v>
      </c>
      <c r="B160" s="50"/>
      <c r="C160" s="27">
        <v>90.77</v>
      </c>
      <c r="D160" s="28">
        <v>-0.72</v>
      </c>
      <c r="E160" s="27">
        <v>7.33</v>
      </c>
      <c r="F160" s="27">
        <v>2.62</v>
      </c>
      <c r="G160" s="39">
        <f t="shared" si="423"/>
        <v>4.9999999999997158E-2</v>
      </c>
      <c r="H160" s="39">
        <f t="shared" ref="H160" si="609">ABS(D160-D161)</f>
        <v>1.0000000000000009E-2</v>
      </c>
      <c r="I160" s="39">
        <f t="shared" ref="I160" si="610">ABS(E160-E161)</f>
        <v>3.0000000000000249E-2</v>
      </c>
      <c r="J160" s="41">
        <f t="shared" ref="J160" si="611">SQRT(G160*G160+H160*H160+I160*I160)</f>
        <v>5.9160797830993886E-2</v>
      </c>
      <c r="K160" s="39">
        <f t="shared" ref="K160" si="612">AVERAGE(F160:F161)</f>
        <v>2.7050000000000001</v>
      </c>
      <c r="L160" s="40">
        <f t="shared" ref="L160" si="613">K160*0.1</f>
        <v>0.27050000000000002</v>
      </c>
      <c r="M160" s="40">
        <f t="shared" ref="M160" si="614">ABS(F160-F161)</f>
        <v>0.16999999999999993</v>
      </c>
      <c r="N160" s="43">
        <f t="shared" ref="N160" si="615">L160-M160</f>
        <v>0.10050000000000009</v>
      </c>
      <c r="O160" s="1"/>
    </row>
    <row r="161" spans="1:15" ht="14.25" x14ac:dyDescent="0.15">
      <c r="A161" s="40"/>
      <c r="B161" s="50"/>
      <c r="C161" s="27">
        <v>90.82</v>
      </c>
      <c r="D161" s="28">
        <v>-0.73</v>
      </c>
      <c r="E161" s="27">
        <v>7.3</v>
      </c>
      <c r="F161" s="27">
        <v>2.79</v>
      </c>
      <c r="G161" s="40"/>
      <c r="H161" s="40"/>
      <c r="I161" s="40"/>
      <c r="J161" s="42"/>
      <c r="K161" s="40"/>
      <c r="L161" s="40"/>
      <c r="M161" s="40"/>
      <c r="N161" s="43"/>
      <c r="O161" s="1"/>
    </row>
    <row r="162" spans="1:15" ht="14.25" x14ac:dyDescent="0.15">
      <c r="A162" s="40">
        <v>70</v>
      </c>
      <c r="B162" s="50"/>
      <c r="C162" s="27">
        <v>91.13</v>
      </c>
      <c r="D162" s="28">
        <v>-0.83</v>
      </c>
      <c r="E162" s="27">
        <v>7.37</v>
      </c>
      <c r="F162" s="27">
        <v>2.68</v>
      </c>
      <c r="G162" s="39">
        <f t="shared" ref="G162" si="616">ABS(C162-C163)</f>
        <v>0.42000000000000171</v>
      </c>
      <c r="H162" s="39">
        <f t="shared" ref="H162" si="617">ABS(D162-D163)</f>
        <v>8.9999999999999969E-2</v>
      </c>
      <c r="I162" s="39">
        <f t="shared" ref="I162" si="618">ABS(E162-E163)</f>
        <v>4.0000000000000036E-2</v>
      </c>
      <c r="J162" s="41">
        <f t="shared" ref="J162" si="619">SQRT(G162*G162+H162*H162+I162*I162)</f>
        <v>0.43139309220246147</v>
      </c>
      <c r="K162" s="39">
        <f t="shared" ref="K162" si="620">AVERAGE(F162:F163)</f>
        <v>2.645</v>
      </c>
      <c r="L162" s="40">
        <f t="shared" ref="L162" si="621">K162*0.1</f>
        <v>0.26450000000000001</v>
      </c>
      <c r="M162" s="40">
        <f t="shared" ref="M162" si="622">ABS(F162-F163)</f>
        <v>7.0000000000000284E-2</v>
      </c>
      <c r="N162" s="43">
        <f t="shared" ref="N162" si="623">L162-M162</f>
        <v>0.19449999999999973</v>
      </c>
      <c r="O162" s="1"/>
    </row>
    <row r="163" spans="1:15" ht="14.25" x14ac:dyDescent="0.15">
      <c r="A163" s="40"/>
      <c r="B163" s="50"/>
      <c r="C163" s="27">
        <v>90.71</v>
      </c>
      <c r="D163" s="28">
        <v>-0.74</v>
      </c>
      <c r="E163" s="27">
        <v>7.33</v>
      </c>
      <c r="F163" s="27">
        <v>2.61</v>
      </c>
      <c r="G163" s="40"/>
      <c r="H163" s="40"/>
      <c r="I163" s="40"/>
      <c r="J163" s="42"/>
      <c r="K163" s="40"/>
      <c r="L163" s="40"/>
      <c r="M163" s="40"/>
      <c r="N163" s="43"/>
      <c r="O163" s="1"/>
    </row>
    <row r="164" spans="1:15" ht="14.25" x14ac:dyDescent="0.15">
      <c r="A164" s="40">
        <v>71</v>
      </c>
      <c r="B164" s="50"/>
      <c r="C164" s="27">
        <v>91.15</v>
      </c>
      <c r="D164" s="28">
        <v>-0.84</v>
      </c>
      <c r="E164" s="27">
        <v>7.52</v>
      </c>
      <c r="F164" s="27">
        <v>2.75</v>
      </c>
      <c r="G164" s="39">
        <f t="shared" ref="G164" si="624">ABS(C164-C165)</f>
        <v>0.44000000000001194</v>
      </c>
      <c r="H164" s="39">
        <f t="shared" ref="H164" si="625">ABS(D164-D165)</f>
        <v>8.9999999999999969E-2</v>
      </c>
      <c r="I164" s="39">
        <f t="shared" ref="I164" si="626">ABS(E164-E165)</f>
        <v>0.1899999999999995</v>
      </c>
      <c r="J164" s="41">
        <f t="shared" ref="J164" si="627">SQRT(G164*G164+H164*H164+I164*I164)</f>
        <v>0.48764741360947494</v>
      </c>
      <c r="K164" s="39">
        <f t="shared" ref="K164" si="628">AVERAGE(F164:F165)</f>
        <v>2.6850000000000001</v>
      </c>
      <c r="L164" s="40">
        <f t="shared" ref="L164" si="629">K164*0.1</f>
        <v>0.26850000000000002</v>
      </c>
      <c r="M164" s="40">
        <f t="shared" ref="M164" si="630">ABS(F164-F165)</f>
        <v>0.12999999999999989</v>
      </c>
      <c r="N164" s="43">
        <f t="shared" ref="N164" si="631">L164-M164</f>
        <v>0.13850000000000012</v>
      </c>
      <c r="O164" s="1"/>
    </row>
    <row r="165" spans="1:15" ht="14.25" x14ac:dyDescent="0.15">
      <c r="A165" s="40"/>
      <c r="B165" s="50"/>
      <c r="C165" s="27">
        <v>90.71</v>
      </c>
      <c r="D165" s="28">
        <v>-0.75</v>
      </c>
      <c r="E165" s="27">
        <v>7.33</v>
      </c>
      <c r="F165" s="27">
        <v>2.62</v>
      </c>
      <c r="G165" s="40"/>
      <c r="H165" s="40"/>
      <c r="I165" s="40"/>
      <c r="J165" s="42"/>
      <c r="K165" s="40"/>
      <c r="L165" s="40"/>
      <c r="M165" s="40"/>
      <c r="N165" s="43"/>
      <c r="O165" s="1"/>
    </row>
    <row r="166" spans="1:15" ht="14.25" x14ac:dyDescent="0.15">
      <c r="A166" s="40">
        <v>72</v>
      </c>
      <c r="B166" s="50"/>
      <c r="C166" s="27">
        <v>91.02</v>
      </c>
      <c r="D166" s="28">
        <v>-0.82</v>
      </c>
      <c r="E166" s="27">
        <v>8.27</v>
      </c>
      <c r="F166" s="27">
        <v>2.89</v>
      </c>
      <c r="G166" s="39">
        <f t="shared" ref="G166" si="632">ABS(C166-C167)</f>
        <v>0.20000000000000284</v>
      </c>
      <c r="H166" s="39">
        <f t="shared" ref="H166" si="633">ABS(D166-D167)</f>
        <v>2.0000000000000018E-2</v>
      </c>
      <c r="I166" s="39">
        <f t="shared" ref="I166" si="634">ABS(E166-E167)</f>
        <v>0.25</v>
      </c>
      <c r="J166" s="41">
        <f t="shared" ref="J166" si="635">SQRT(G166*G166+H166*H166+I166*I166)</f>
        <v>0.32078029864691054</v>
      </c>
      <c r="K166" s="39">
        <f t="shared" ref="K166" si="636">AVERAGE(F166:F167)</f>
        <v>2.855</v>
      </c>
      <c r="L166" s="40">
        <f t="shared" ref="L166" si="637">K166*0.1</f>
        <v>0.28550000000000003</v>
      </c>
      <c r="M166" s="40">
        <f t="shared" ref="M166" si="638">ABS(F166-F167)</f>
        <v>7.0000000000000284E-2</v>
      </c>
      <c r="N166" s="43">
        <f t="shared" ref="N166" si="639">L166-M166</f>
        <v>0.21549999999999975</v>
      </c>
      <c r="O166" s="1"/>
    </row>
    <row r="167" spans="1:15" ht="14.25" x14ac:dyDescent="0.15">
      <c r="A167" s="40"/>
      <c r="B167" s="51"/>
      <c r="C167" s="27">
        <v>91.22</v>
      </c>
      <c r="D167" s="28">
        <v>-0.84</v>
      </c>
      <c r="E167" s="27">
        <v>8.02</v>
      </c>
      <c r="F167" s="27">
        <v>2.82</v>
      </c>
      <c r="G167" s="40"/>
      <c r="H167" s="40"/>
      <c r="I167" s="40"/>
      <c r="J167" s="42"/>
      <c r="K167" s="40"/>
      <c r="L167" s="40"/>
      <c r="M167" s="40"/>
      <c r="N167" s="43"/>
      <c r="O167" s="1"/>
    </row>
    <row r="168" spans="1:15" ht="30" customHeight="1" x14ac:dyDescent="0.15">
      <c r="A168" s="37" t="s">
        <v>27</v>
      </c>
      <c r="B168" s="38"/>
      <c r="C168" s="28">
        <f>AVERAGE(C150:C167)</f>
        <v>91.105000000000004</v>
      </c>
      <c r="D168" s="28">
        <f t="shared" ref="D168" si="640">AVERAGE(D150:D167)</f>
        <v>-0.80055555555555558</v>
      </c>
      <c r="E168" s="28">
        <f t="shared" ref="E168" si="641">AVERAGE(E150:E167)</f>
        <v>7.4222222222222216</v>
      </c>
      <c r="F168" s="28">
        <f>AVERAGE(F150:F167)</f>
        <v>2.7061111111111114</v>
      </c>
      <c r="G168" s="28">
        <f t="shared" ref="G168" si="642">AVERAGE(G150:G167)</f>
        <v>0.19000000000000089</v>
      </c>
      <c r="H168" s="28">
        <f t="shared" ref="H168" si="643">AVERAGE(H150:H167)</f>
        <v>3.4444444444444451E-2</v>
      </c>
      <c r="I168" s="28">
        <f t="shared" ref="I168" si="644">AVERAGE(I150:I167)</f>
        <v>0.1044444444444444</v>
      </c>
      <c r="J168" s="28">
        <f t="shared" ref="J168" si="645">AVERAGE(J150:J167)</f>
        <v>0.22911054305458103</v>
      </c>
      <c r="K168" s="28">
        <f t="shared" ref="K168" si="646">AVERAGE(K150:K167)</f>
        <v>2.7061111111111114</v>
      </c>
      <c r="L168" s="28">
        <f>AVERAGE(L150:L167)</f>
        <v>0.27061111111111114</v>
      </c>
      <c r="M168" s="28">
        <f t="shared" ref="M168" si="647">AVERAGE(M150:M167)</f>
        <v>0.10111111111111118</v>
      </c>
      <c r="N168" s="28">
        <f t="shared" ref="N168" si="648">AVERAGE(N150:N167)</f>
        <v>0.16949999999999996</v>
      </c>
      <c r="O168" s="1"/>
    </row>
    <row r="169" spans="1:15" ht="30" customHeight="1" x14ac:dyDescent="0.15">
      <c r="A169" s="37" t="s">
        <v>28</v>
      </c>
      <c r="B169" s="38"/>
      <c r="C169" s="28">
        <f>STDEV(C150:C167)</f>
        <v>0.25571698510382329</v>
      </c>
      <c r="D169" s="28">
        <f t="shared" ref="D169:N169" si="649">STDEV(D150:D167)</f>
        <v>5.2856322702900943E-2</v>
      </c>
      <c r="E169" s="28">
        <f t="shared" si="649"/>
        <v>0.2837263709893233</v>
      </c>
      <c r="F169" s="28">
        <f>STDEV(F150:F167)</f>
        <v>0.10012573794331207</v>
      </c>
      <c r="G169" s="28">
        <f t="shared" si="649"/>
        <v>0.1887458608817712</v>
      </c>
      <c r="H169" s="28">
        <f t="shared" si="649"/>
        <v>3.7453675090407049E-2</v>
      </c>
      <c r="I169" s="28">
        <f t="shared" si="649"/>
        <v>0.10666666666666652</v>
      </c>
      <c r="J169" s="28">
        <f t="shared" si="649"/>
        <v>0.20873884148354038</v>
      </c>
      <c r="K169" s="28">
        <f t="shared" si="649"/>
        <v>8.4216157066866401E-2</v>
      </c>
      <c r="L169" s="28">
        <f>STDEV(L150:L167)</f>
        <v>8.4216157066866471E-3</v>
      </c>
      <c r="M169" s="28">
        <f t="shared" si="649"/>
        <v>5.2307849421583917E-2</v>
      </c>
      <c r="N169" s="28">
        <f t="shared" si="649"/>
        <v>5.3593959547695122E-2</v>
      </c>
      <c r="O169" s="1"/>
    </row>
    <row r="170" spans="1:15" ht="30" customHeight="1" x14ac:dyDescent="0.15">
      <c r="A170" s="37" t="s">
        <v>29</v>
      </c>
      <c r="B170" s="38"/>
      <c r="C170" s="28">
        <f>C169/C168*100</f>
        <v>0.28068381000364778</v>
      </c>
      <c r="D170" s="28">
        <f t="shared" ref="D170" si="650">D169/D168*100</f>
        <v>-6.6024552994602148</v>
      </c>
      <c r="E170" s="28">
        <f t="shared" ref="E170" si="651">E169/E168*100</f>
        <v>3.8226606869819011</v>
      </c>
      <c r="F170" s="28">
        <f>F169/F168*100</f>
        <v>3.6999862101819283</v>
      </c>
      <c r="G170" s="28">
        <f t="shared" ref="G170" si="652">G169/G168*100</f>
        <v>99.339926779879121</v>
      </c>
      <c r="H170" s="28">
        <f t="shared" ref="H170" si="653">H169/H168*100</f>
        <v>108.73647606892366</v>
      </c>
      <c r="I170" s="28">
        <f t="shared" ref="I170" si="654">I169/I168*100</f>
        <v>102.12765957446798</v>
      </c>
      <c r="J170" s="28">
        <f t="shared" ref="J170" si="655">J169/J168*100</f>
        <v>91.108352632123314</v>
      </c>
      <c r="K170" s="28">
        <f t="shared" ref="K170" si="656">K169/K168*100</f>
        <v>3.1120731414567748</v>
      </c>
      <c r="L170" s="28">
        <f t="shared" ref="L170" si="657">L169/L168*100</f>
        <v>3.1120731414567775</v>
      </c>
      <c r="M170" s="28">
        <f t="shared" ref="M170" si="658">M169/M168*100</f>
        <v>51.73303788947856</v>
      </c>
      <c r="N170" s="28">
        <f t="shared" ref="N170" si="659">N169/N168*100</f>
        <v>31.618855190380614</v>
      </c>
      <c r="O170" s="1"/>
    </row>
    <row r="171" spans="1:15" ht="14.25" x14ac:dyDescent="0.15">
      <c r="A171" s="40">
        <v>73</v>
      </c>
      <c r="B171" s="44" t="s">
        <v>33</v>
      </c>
      <c r="C171" s="27">
        <v>90.91</v>
      </c>
      <c r="D171" s="28">
        <v>-0.82</v>
      </c>
      <c r="E171" s="27">
        <v>7.94</v>
      </c>
      <c r="F171" s="27">
        <v>3.24</v>
      </c>
      <c r="G171" s="39">
        <f t="shared" si="384"/>
        <v>1.9999999999996021E-2</v>
      </c>
      <c r="H171" s="39">
        <f t="shared" ref="H171" si="660">ABS(D171-D172)</f>
        <v>0</v>
      </c>
      <c r="I171" s="39">
        <f t="shared" ref="I171" si="661">ABS(E171-E172)</f>
        <v>9.9999999999997868E-3</v>
      </c>
      <c r="J171" s="41">
        <f>SQRT(G171*G171+H171*H171+I171*I171)</f>
        <v>2.2360679774994244E-2</v>
      </c>
      <c r="K171" s="39">
        <f>AVERAGE(F171:F172)</f>
        <v>3.2949999999999999</v>
      </c>
      <c r="L171" s="40">
        <f>K171*0.1</f>
        <v>0.32950000000000002</v>
      </c>
      <c r="M171" s="40">
        <f>ABS(F171-F172)</f>
        <v>0.10999999999999988</v>
      </c>
      <c r="N171" s="43">
        <f>L171-M171</f>
        <v>0.21950000000000014</v>
      </c>
      <c r="O171" s="1"/>
    </row>
    <row r="172" spans="1:15" ht="14.25" x14ac:dyDescent="0.15">
      <c r="A172" s="40"/>
      <c r="B172" s="44"/>
      <c r="C172" s="27">
        <v>90.89</v>
      </c>
      <c r="D172" s="28">
        <v>-0.82</v>
      </c>
      <c r="E172" s="27">
        <v>7.95</v>
      </c>
      <c r="F172" s="27">
        <v>3.35</v>
      </c>
      <c r="G172" s="40"/>
      <c r="H172" s="40"/>
      <c r="I172" s="40"/>
      <c r="J172" s="42"/>
      <c r="K172" s="40"/>
      <c r="L172" s="40"/>
      <c r="M172" s="40"/>
      <c r="N172" s="43"/>
      <c r="O172" s="1"/>
    </row>
    <row r="173" spans="1:15" ht="14.25" x14ac:dyDescent="0.15">
      <c r="A173" s="40">
        <v>74</v>
      </c>
      <c r="B173" s="44"/>
      <c r="C173" s="27">
        <v>90.93</v>
      </c>
      <c r="D173" s="28">
        <v>-0.79</v>
      </c>
      <c r="E173" s="27">
        <v>7.42</v>
      </c>
      <c r="F173" s="27">
        <v>3.01</v>
      </c>
      <c r="G173" s="39">
        <f t="shared" si="413"/>
        <v>0</v>
      </c>
      <c r="H173" s="39">
        <f t="shared" ref="H173" si="662">ABS(D173-D174)</f>
        <v>1.0000000000000009E-2</v>
      </c>
      <c r="I173" s="39">
        <f t="shared" ref="I173" si="663">ABS(E173-E174)</f>
        <v>0.19000000000000039</v>
      </c>
      <c r="J173" s="41">
        <f t="shared" ref="J173" si="664">SQRT(G173*G173+H173*H173+I173*I173)</f>
        <v>0.19026297590440489</v>
      </c>
      <c r="K173" s="39">
        <f>AVERAGE(F173:F174)</f>
        <v>3</v>
      </c>
      <c r="L173" s="40">
        <f t="shared" ref="L173" si="665">K173*0.1</f>
        <v>0.30000000000000004</v>
      </c>
      <c r="M173" s="40">
        <f t="shared" ref="M173" si="666">ABS(F173-F174)</f>
        <v>1.9999999999999574E-2</v>
      </c>
      <c r="N173" s="43">
        <f t="shared" ref="N173" si="667">L173-M173</f>
        <v>0.28000000000000047</v>
      </c>
      <c r="O173" s="1"/>
    </row>
    <row r="174" spans="1:15" ht="14.25" x14ac:dyDescent="0.15">
      <c r="A174" s="40"/>
      <c r="B174" s="44"/>
      <c r="C174" s="27">
        <v>90.93</v>
      </c>
      <c r="D174" s="28">
        <v>-0.8</v>
      </c>
      <c r="E174" s="27">
        <v>7.61</v>
      </c>
      <c r="F174" s="27">
        <v>2.99</v>
      </c>
      <c r="G174" s="40"/>
      <c r="H174" s="40"/>
      <c r="I174" s="40"/>
      <c r="J174" s="42"/>
      <c r="K174" s="40"/>
      <c r="L174" s="40"/>
      <c r="M174" s="40"/>
      <c r="N174" s="43"/>
      <c r="O174" s="1"/>
    </row>
    <row r="175" spans="1:15" ht="14.25" customHeight="1" x14ac:dyDescent="0.15">
      <c r="A175" s="40">
        <v>75</v>
      </c>
      <c r="B175" s="44"/>
      <c r="C175" s="27">
        <v>90.94</v>
      </c>
      <c r="D175" s="28">
        <v>-0.82</v>
      </c>
      <c r="E175" s="27">
        <v>7.96</v>
      </c>
      <c r="F175" s="27">
        <v>3.14</v>
      </c>
      <c r="G175" s="39">
        <f t="shared" si="416"/>
        <v>3.0000000000001137E-2</v>
      </c>
      <c r="H175" s="39">
        <f t="shared" ref="H175" si="668">ABS(D175-D176)</f>
        <v>1.0000000000000009E-2</v>
      </c>
      <c r="I175" s="39">
        <f t="shared" ref="I175" si="669">ABS(E175-E176)</f>
        <v>0.23999999999999932</v>
      </c>
      <c r="J175" s="41">
        <f t="shared" ref="J175" si="670">SQRT(G175*G175+H175*H175+I175*I175)</f>
        <v>0.24207436873820357</v>
      </c>
      <c r="K175" s="39">
        <f t="shared" ref="K175" si="671">AVERAGE(F175:F176)</f>
        <v>3.1349999999999998</v>
      </c>
      <c r="L175" s="40">
        <f t="shared" ref="L175" si="672">K175*0.1</f>
        <v>0.3135</v>
      </c>
      <c r="M175" s="40">
        <f t="shared" ref="M175" si="673">ABS(F175-F176)</f>
        <v>1.0000000000000231E-2</v>
      </c>
      <c r="N175" s="43">
        <f t="shared" ref="N175" si="674">L175-M175</f>
        <v>0.30349999999999977</v>
      </c>
      <c r="O175" s="1"/>
    </row>
    <row r="176" spans="1:15" ht="14.25" x14ac:dyDescent="0.15">
      <c r="A176" s="40"/>
      <c r="B176" s="44"/>
      <c r="C176" s="27">
        <v>90.91</v>
      </c>
      <c r="D176" s="28">
        <v>-0.83</v>
      </c>
      <c r="E176" s="27">
        <v>8.1999999999999993</v>
      </c>
      <c r="F176" s="27">
        <v>3.13</v>
      </c>
      <c r="G176" s="40"/>
      <c r="H176" s="40"/>
      <c r="I176" s="40"/>
      <c r="J176" s="42"/>
      <c r="K176" s="40"/>
      <c r="L176" s="40"/>
      <c r="M176" s="40"/>
      <c r="N176" s="43"/>
      <c r="O176" s="1"/>
    </row>
    <row r="177" spans="1:15" ht="14.25" x14ac:dyDescent="0.15">
      <c r="A177" s="40">
        <v>76</v>
      </c>
      <c r="B177" s="44"/>
      <c r="C177" s="27">
        <v>90.6</v>
      </c>
      <c r="D177" s="28">
        <v>-0.7</v>
      </c>
      <c r="E177" s="27">
        <v>7.39</v>
      </c>
      <c r="F177" s="27">
        <v>2.97</v>
      </c>
      <c r="G177" s="39">
        <f t="shared" si="423"/>
        <v>0.12000000000000455</v>
      </c>
      <c r="H177" s="39">
        <f t="shared" ref="H177" si="675">ABS(D177-D178)</f>
        <v>2.0000000000000018E-2</v>
      </c>
      <c r="I177" s="39">
        <f t="shared" ref="I177" si="676">ABS(E177-E178)</f>
        <v>9.0000000000000746E-2</v>
      </c>
      <c r="J177" s="41">
        <f t="shared" ref="J177" si="677">SQRT(G177*G177+H177*H177+I177*I177)</f>
        <v>0.15132745950421961</v>
      </c>
      <c r="K177" s="39">
        <f t="shared" ref="K177" si="678">AVERAGE(F177:F178)</f>
        <v>3.0750000000000002</v>
      </c>
      <c r="L177" s="40">
        <f t="shared" ref="L177" si="679">K177*0.1</f>
        <v>0.30750000000000005</v>
      </c>
      <c r="M177" s="40">
        <f t="shared" ref="M177" si="680">ABS(F177-F178)</f>
        <v>0.20999999999999996</v>
      </c>
      <c r="N177" s="43">
        <f t="shared" ref="N177" si="681">L177-M177</f>
        <v>9.7500000000000087E-2</v>
      </c>
      <c r="O177" s="1"/>
    </row>
    <row r="178" spans="1:15" ht="14.25" x14ac:dyDescent="0.15">
      <c r="A178" s="40"/>
      <c r="B178" s="44"/>
      <c r="C178" s="27">
        <v>90.72</v>
      </c>
      <c r="D178" s="28">
        <v>-0.72</v>
      </c>
      <c r="E178" s="27">
        <v>7.48</v>
      </c>
      <c r="F178" s="27">
        <v>3.18</v>
      </c>
      <c r="G178" s="40"/>
      <c r="H178" s="40"/>
      <c r="I178" s="40"/>
      <c r="J178" s="42"/>
      <c r="K178" s="40"/>
      <c r="L178" s="40"/>
      <c r="M178" s="40"/>
      <c r="N178" s="43"/>
      <c r="O178" s="1"/>
    </row>
    <row r="179" spans="1:15" ht="14.25" x14ac:dyDescent="0.15">
      <c r="A179" s="40">
        <v>77</v>
      </c>
      <c r="B179" s="44"/>
      <c r="C179" s="27">
        <v>90.62</v>
      </c>
      <c r="D179" s="28">
        <v>-0.71</v>
      </c>
      <c r="E179" s="27">
        <v>7.69</v>
      </c>
      <c r="F179" s="27">
        <v>3.17</v>
      </c>
      <c r="G179" s="39">
        <f t="shared" ref="G179" si="682">ABS(C179-C180)</f>
        <v>0.30000000000001137</v>
      </c>
      <c r="H179" s="39">
        <f t="shared" ref="H179" si="683">ABS(D179-D180)</f>
        <v>5.9999999999999942E-2</v>
      </c>
      <c r="I179" s="39">
        <f t="shared" ref="I179" si="684">ABS(E179-E180)</f>
        <v>0.14000000000000057</v>
      </c>
      <c r="J179" s="41">
        <f t="shared" ref="J179" si="685">SQRT(G179*G179+H179*H179+I179*I179)</f>
        <v>0.33645207682522482</v>
      </c>
      <c r="K179" s="39">
        <f t="shared" ref="K179" si="686">AVERAGE(F179:F180)</f>
        <v>3.2199999999999998</v>
      </c>
      <c r="L179" s="40">
        <f t="shared" ref="L179" si="687">K179*0.1</f>
        <v>0.32200000000000001</v>
      </c>
      <c r="M179" s="40">
        <f t="shared" ref="M179" si="688">ABS(F179-F180)</f>
        <v>0.10000000000000009</v>
      </c>
      <c r="N179" s="43">
        <f t="shared" ref="N179" si="689">L179-M179</f>
        <v>0.22199999999999992</v>
      </c>
      <c r="O179" s="1"/>
    </row>
    <row r="180" spans="1:15" ht="14.25" x14ac:dyDescent="0.15">
      <c r="A180" s="40"/>
      <c r="B180" s="44"/>
      <c r="C180" s="27">
        <v>90.32</v>
      </c>
      <c r="D180" s="28">
        <v>-0.65</v>
      </c>
      <c r="E180" s="27">
        <v>7.55</v>
      </c>
      <c r="F180" s="27">
        <v>3.27</v>
      </c>
      <c r="G180" s="40"/>
      <c r="H180" s="40"/>
      <c r="I180" s="40"/>
      <c r="J180" s="42"/>
      <c r="K180" s="40"/>
      <c r="L180" s="40"/>
      <c r="M180" s="40"/>
      <c r="N180" s="43"/>
      <c r="O180" s="1"/>
    </row>
    <row r="181" spans="1:15" ht="14.25" x14ac:dyDescent="0.15">
      <c r="A181" s="40">
        <v>78</v>
      </c>
      <c r="B181" s="44"/>
      <c r="C181" s="27">
        <v>90.69</v>
      </c>
      <c r="D181" s="28">
        <v>-0.73</v>
      </c>
      <c r="E181" s="27">
        <v>7.61</v>
      </c>
      <c r="F181" s="27">
        <v>3.38</v>
      </c>
      <c r="G181" s="39">
        <f t="shared" ref="G181" si="690">ABS(C181-C182)</f>
        <v>0.14999999999999147</v>
      </c>
      <c r="H181" s="39">
        <f t="shared" ref="H181" si="691">ABS(D181-D182)</f>
        <v>3.0000000000000027E-2</v>
      </c>
      <c r="I181" s="39">
        <f t="shared" ref="I181" si="692">ABS(E181-E182)</f>
        <v>3.0000000000000249E-2</v>
      </c>
      <c r="J181" s="41">
        <f t="shared" ref="J181" si="693">SQRT(G181*G181+H181*H181+I181*I181)</f>
        <v>0.1558845726811908</v>
      </c>
      <c r="K181" s="39">
        <f t="shared" ref="K181" si="694">AVERAGE(F181:F182)</f>
        <v>3.31</v>
      </c>
      <c r="L181" s="40">
        <f t="shared" ref="L181" si="695">K181*0.1</f>
        <v>0.33100000000000002</v>
      </c>
      <c r="M181" s="40">
        <f t="shared" ref="M181" si="696">ABS(F181-F182)</f>
        <v>0.13999999999999968</v>
      </c>
      <c r="N181" s="43">
        <f t="shared" ref="N181" si="697">L181-M181</f>
        <v>0.19100000000000034</v>
      </c>
      <c r="O181" s="1"/>
    </row>
    <row r="182" spans="1:15" ht="14.25" x14ac:dyDescent="0.15">
      <c r="A182" s="40"/>
      <c r="B182" s="44"/>
      <c r="C182" s="27">
        <v>90.54</v>
      </c>
      <c r="D182" s="28">
        <v>-0.7</v>
      </c>
      <c r="E182" s="27">
        <v>7.58</v>
      </c>
      <c r="F182" s="27">
        <v>3.24</v>
      </c>
      <c r="G182" s="40"/>
      <c r="H182" s="40"/>
      <c r="I182" s="40"/>
      <c r="J182" s="42"/>
      <c r="K182" s="40"/>
      <c r="L182" s="40"/>
      <c r="M182" s="40"/>
      <c r="N182" s="43"/>
      <c r="O182" s="1"/>
    </row>
    <row r="183" spans="1:15" ht="14.25" x14ac:dyDescent="0.15">
      <c r="A183" s="40">
        <v>79</v>
      </c>
      <c r="B183" s="44"/>
      <c r="C183" s="27">
        <v>90.68</v>
      </c>
      <c r="D183" s="28">
        <v>-0.77</v>
      </c>
      <c r="E183" s="27">
        <v>7.74</v>
      </c>
      <c r="F183" s="27">
        <v>3.35</v>
      </c>
      <c r="G183" s="39">
        <f t="shared" ref="G183" si="698">ABS(C183-C184)</f>
        <v>4.0000000000006253E-2</v>
      </c>
      <c r="H183" s="39">
        <f t="shared" ref="H183" si="699">ABS(D183-D184)</f>
        <v>0</v>
      </c>
      <c r="I183" s="39">
        <f t="shared" ref="I183" si="700">ABS(E183-E184)</f>
        <v>0.24000000000000021</v>
      </c>
      <c r="J183" s="41">
        <f t="shared" ref="J183" si="701">SQRT(G183*G183+H183*H183+I183*I183)</f>
        <v>0.24331050121193001</v>
      </c>
      <c r="K183" s="39">
        <f t="shared" ref="K183" si="702">AVERAGE(F183:F184)</f>
        <v>3.2750000000000004</v>
      </c>
      <c r="L183" s="40">
        <f t="shared" ref="L183" si="703">K183*0.1</f>
        <v>0.32750000000000007</v>
      </c>
      <c r="M183" s="40">
        <f t="shared" ref="M183" si="704">ABS(F183-F184)</f>
        <v>0.14999999999999991</v>
      </c>
      <c r="N183" s="43">
        <f t="shared" ref="N183" si="705">L183-M183</f>
        <v>0.17750000000000016</v>
      </c>
      <c r="O183" s="1"/>
    </row>
    <row r="184" spans="1:15" ht="14.25" x14ac:dyDescent="0.15">
      <c r="A184" s="40"/>
      <c r="B184" s="44"/>
      <c r="C184" s="27">
        <v>90.64</v>
      </c>
      <c r="D184" s="28">
        <v>-0.77</v>
      </c>
      <c r="E184" s="27">
        <v>7.98</v>
      </c>
      <c r="F184" s="27">
        <v>3.2</v>
      </c>
      <c r="G184" s="40"/>
      <c r="H184" s="40"/>
      <c r="I184" s="40"/>
      <c r="J184" s="42"/>
      <c r="K184" s="40"/>
      <c r="L184" s="40"/>
      <c r="M184" s="40"/>
      <c r="N184" s="43"/>
      <c r="O184" s="1"/>
    </row>
    <row r="185" spans="1:15" ht="14.25" x14ac:dyDescent="0.15">
      <c r="A185" s="40">
        <v>80</v>
      </c>
      <c r="B185" s="44"/>
      <c r="C185" s="27">
        <v>90.2</v>
      </c>
      <c r="D185" s="28">
        <v>-0.68</v>
      </c>
      <c r="E185" s="27">
        <v>7.76</v>
      </c>
      <c r="F185" s="27">
        <v>2.85</v>
      </c>
      <c r="G185" s="39">
        <f t="shared" ref="G185" si="706">ABS(C185-C186)</f>
        <v>0.43999999999999773</v>
      </c>
      <c r="H185" s="39">
        <f t="shared" ref="H185" si="707">ABS(D185-D186)</f>
        <v>8.9999999999999969E-2</v>
      </c>
      <c r="I185" s="39">
        <f t="shared" ref="I185" si="708">ABS(E185-E186)</f>
        <v>4.0000000000000036E-2</v>
      </c>
      <c r="J185" s="41">
        <f t="shared" ref="J185" si="709">SQRT(G185*G185+H185*H185+I185*I185)</f>
        <v>0.45088801270381762</v>
      </c>
      <c r="K185" s="39">
        <f t="shared" ref="K185" si="710">AVERAGE(F185:F186)</f>
        <v>2.9550000000000001</v>
      </c>
      <c r="L185" s="40">
        <f t="shared" ref="L185" si="711">K185*0.1</f>
        <v>0.29550000000000004</v>
      </c>
      <c r="M185" s="40">
        <f t="shared" ref="M185" si="712">ABS(F185-F186)</f>
        <v>0.20999999999999996</v>
      </c>
      <c r="N185" s="43">
        <f t="shared" ref="N185" si="713">L185-M185</f>
        <v>8.5500000000000076E-2</v>
      </c>
      <c r="O185" s="1"/>
    </row>
    <row r="186" spans="1:15" ht="14.25" x14ac:dyDescent="0.15">
      <c r="A186" s="40"/>
      <c r="B186" s="44"/>
      <c r="C186" s="27">
        <v>90.64</v>
      </c>
      <c r="D186" s="28">
        <v>-0.77</v>
      </c>
      <c r="E186" s="27">
        <v>7.8</v>
      </c>
      <c r="F186" s="27">
        <v>3.06</v>
      </c>
      <c r="G186" s="40"/>
      <c r="H186" s="40"/>
      <c r="I186" s="40"/>
      <c r="J186" s="42"/>
      <c r="K186" s="40"/>
      <c r="L186" s="40"/>
      <c r="M186" s="40"/>
      <c r="N186" s="43"/>
      <c r="O186" s="1"/>
    </row>
    <row r="187" spans="1:15" ht="14.25" x14ac:dyDescent="0.15">
      <c r="A187" s="40">
        <v>81</v>
      </c>
      <c r="B187" s="44"/>
      <c r="C187" s="27">
        <v>90.41</v>
      </c>
      <c r="D187" s="28">
        <v>-0.73</v>
      </c>
      <c r="E187" s="27">
        <v>8.58</v>
      </c>
      <c r="F187" s="27">
        <v>3.26</v>
      </c>
      <c r="G187" s="39">
        <f>ABS(C187-C188)</f>
        <v>0.35999999999999943</v>
      </c>
      <c r="H187" s="39">
        <f>ABS(D187-D188)</f>
        <v>6.0000000000000053E-2</v>
      </c>
      <c r="I187" s="39">
        <f>ABS(E187-E188)</f>
        <v>0.11999999999999922</v>
      </c>
      <c r="J187" s="41">
        <f t="shared" ref="J187" si="714">SQRT(G187*G187+H187*H187+I187*I187)</f>
        <v>0.38418745424597017</v>
      </c>
      <c r="K187" s="39">
        <f t="shared" ref="K187" si="715">AVERAGE(F187:F188)</f>
        <v>3.1549999999999998</v>
      </c>
      <c r="L187" s="40">
        <f t="shared" ref="L187" si="716">K187*0.1</f>
        <v>0.3155</v>
      </c>
      <c r="M187" s="40">
        <f t="shared" ref="M187" si="717">ABS(F187-F188)</f>
        <v>0.20999999999999996</v>
      </c>
      <c r="N187" s="43">
        <f t="shared" ref="N187" si="718">L187-M187</f>
        <v>0.10550000000000004</v>
      </c>
      <c r="O187" s="1"/>
    </row>
    <row r="188" spans="1:15" ht="14.25" x14ac:dyDescent="0.15">
      <c r="A188" s="40"/>
      <c r="B188" s="44"/>
      <c r="C188" s="27">
        <v>90.77</v>
      </c>
      <c r="D188" s="28">
        <v>-0.79</v>
      </c>
      <c r="E188" s="27">
        <v>8.4600000000000009</v>
      </c>
      <c r="F188" s="27">
        <v>3.05</v>
      </c>
      <c r="G188" s="40"/>
      <c r="H188" s="40"/>
      <c r="I188" s="40"/>
      <c r="J188" s="42"/>
      <c r="K188" s="40"/>
      <c r="L188" s="40"/>
      <c r="M188" s="40"/>
      <c r="N188" s="43"/>
      <c r="O188" s="1"/>
    </row>
    <row r="189" spans="1:15" ht="30" customHeight="1" x14ac:dyDescent="0.15">
      <c r="A189" s="37" t="s">
        <v>27</v>
      </c>
      <c r="B189" s="38"/>
      <c r="C189" s="28">
        <f>AVERAGE(C171:C188)</f>
        <v>90.685555555555581</v>
      </c>
      <c r="D189" s="28">
        <f t="shared" ref="D189:N189" si="719">AVERAGE(D171:D188)</f>
        <v>-0.75555555555555542</v>
      </c>
      <c r="E189" s="28">
        <f t="shared" si="719"/>
        <v>7.8166666666666673</v>
      </c>
      <c r="F189" s="28">
        <f t="shared" si="719"/>
        <v>3.157777777777778</v>
      </c>
      <c r="G189" s="28">
        <f>AVERAGE(G171:G188)</f>
        <v>0.1622222222222231</v>
      </c>
      <c r="H189" s="28">
        <f t="shared" si="719"/>
        <v>3.1111111111111114E-2</v>
      </c>
      <c r="I189" s="28">
        <f t="shared" si="719"/>
        <v>0.12222222222222229</v>
      </c>
      <c r="J189" s="28">
        <f t="shared" si="719"/>
        <v>0.24186090017666173</v>
      </c>
      <c r="K189" s="28">
        <f t="shared" si="719"/>
        <v>3.1577777777777771</v>
      </c>
      <c r="L189" s="28">
        <f t="shared" si="719"/>
        <v>0.31577777777777782</v>
      </c>
      <c r="M189" s="28">
        <f>AVERAGE(M171:M188)</f>
        <v>0.1288888888888888</v>
      </c>
      <c r="N189" s="28">
        <f t="shared" si="719"/>
        <v>0.18688888888888902</v>
      </c>
      <c r="O189" s="1"/>
    </row>
    <row r="190" spans="1:15" ht="30" customHeight="1" x14ac:dyDescent="0.15">
      <c r="A190" s="37" t="s">
        <v>28</v>
      </c>
      <c r="B190" s="38"/>
      <c r="C190" s="28">
        <f>STDEV(C171:C188)</f>
        <v>0.21928284775663986</v>
      </c>
      <c r="D190" s="28">
        <f t="shared" ref="D190:N190" si="720">STDEV(D171:D188)</f>
        <v>5.4580994561479565E-2</v>
      </c>
      <c r="E190" s="28">
        <f t="shared" si="720"/>
        <v>0.33557676425205962</v>
      </c>
      <c r="F190" s="28">
        <f t="shared" si="720"/>
        <v>0.14643029080541864</v>
      </c>
      <c r="G190" s="28">
        <f>STDEV(G171:G188)</f>
        <v>0.16437592416301283</v>
      </c>
      <c r="H190" s="28">
        <f t="shared" si="720"/>
        <v>3.1797973380564844E-2</v>
      </c>
      <c r="I190" s="28">
        <f t="shared" si="720"/>
        <v>8.7717982446271728E-2</v>
      </c>
      <c r="J190" s="28">
        <f t="shared" si="720"/>
        <v>0.13197051976275667</v>
      </c>
      <c r="K190" s="28">
        <f t="shared" si="720"/>
        <v>0.12894066249420483</v>
      </c>
      <c r="L190" s="28">
        <f t="shared" si="720"/>
        <v>1.2894066249420478E-2</v>
      </c>
      <c r="M190" s="28">
        <f>STDEV(M171:M188)</f>
        <v>7.7046162208841487E-2</v>
      </c>
      <c r="N190" s="28">
        <f t="shared" si="720"/>
        <v>7.871101327712092E-2</v>
      </c>
      <c r="O190" s="1"/>
    </row>
    <row r="191" spans="1:15" ht="30" customHeight="1" x14ac:dyDescent="0.15">
      <c r="A191" s="37" t="s">
        <v>29</v>
      </c>
      <c r="B191" s="38"/>
      <c r="C191" s="28">
        <f>C190/C189*100</f>
        <v>0.24180570589580089</v>
      </c>
      <c r="D191" s="28">
        <f t="shared" ref="D191:N191" si="721">D190/D189*100</f>
        <v>-7.2239551625487675</v>
      </c>
      <c r="E191" s="28">
        <f t="shared" si="721"/>
        <v>4.2930929328621703</v>
      </c>
      <c r="F191" s="28">
        <f t="shared" si="721"/>
        <v>4.6371309544291615</v>
      </c>
      <c r="G191" s="28">
        <f>G190/G189*100</f>
        <v>101.32762448404846</v>
      </c>
      <c r="H191" s="28">
        <f t="shared" si="721"/>
        <v>102.20777158038699</v>
      </c>
      <c r="I191" s="28">
        <f t="shared" si="721"/>
        <v>71.769258365131378</v>
      </c>
      <c r="J191" s="28">
        <f t="shared" si="721"/>
        <v>54.564635981409914</v>
      </c>
      <c r="K191" s="28">
        <f t="shared" si="721"/>
        <v>4.0832722112872757</v>
      </c>
      <c r="L191" s="28">
        <f t="shared" si="721"/>
        <v>4.083272211287273</v>
      </c>
      <c r="M191" s="28">
        <f>M190/M189*100</f>
        <v>59.777194817204638</v>
      </c>
      <c r="N191" s="28">
        <f t="shared" si="721"/>
        <v>42.116475594178823</v>
      </c>
      <c r="O191" s="1"/>
    </row>
    <row r="192" spans="1:15" s="26" customFormat="1" ht="36" customHeight="1" x14ac:dyDescent="0.15">
      <c r="A192" s="52" t="s">
        <v>9</v>
      </c>
      <c r="B192" s="52"/>
      <c r="C192" s="52"/>
      <c r="D192" s="52"/>
      <c r="E192" s="52"/>
      <c r="F192" s="52"/>
      <c r="G192" s="52" t="s">
        <v>10</v>
      </c>
      <c r="H192" s="52"/>
      <c r="I192" s="52"/>
      <c r="J192" s="52"/>
      <c r="K192" s="52"/>
      <c r="L192" s="52"/>
      <c r="M192" s="52"/>
      <c r="N192" s="52"/>
      <c r="O192" s="25"/>
    </row>
    <row r="193" spans="1:15" s="4" customFormat="1" ht="28.5" x14ac:dyDescent="0.15">
      <c r="A193" s="11" t="s">
        <v>0</v>
      </c>
      <c r="B193" s="29" t="s">
        <v>3</v>
      </c>
      <c r="C193" s="6" t="s">
        <v>34</v>
      </c>
      <c r="D193" s="10" t="s">
        <v>35</v>
      </c>
      <c r="E193" s="6" t="s">
        <v>36</v>
      </c>
      <c r="F193" s="9" t="s">
        <v>37</v>
      </c>
      <c r="G193" s="6" t="s">
        <v>38</v>
      </c>
      <c r="H193" s="7" t="s">
        <v>39</v>
      </c>
      <c r="I193" s="7" t="s">
        <v>40</v>
      </c>
      <c r="J193" s="12" t="s">
        <v>41</v>
      </c>
      <c r="K193" s="8" t="s">
        <v>1</v>
      </c>
      <c r="L193" s="7" t="s">
        <v>42</v>
      </c>
      <c r="M193" s="6" t="s">
        <v>43</v>
      </c>
      <c r="N193" s="10" t="s">
        <v>2</v>
      </c>
    </row>
    <row r="194" spans="1:15" ht="14.25" customHeight="1" x14ac:dyDescent="0.15">
      <c r="A194" s="40">
        <v>1</v>
      </c>
      <c r="B194" s="44" t="s">
        <v>44</v>
      </c>
      <c r="C194" s="27">
        <v>92.39</v>
      </c>
      <c r="D194" s="28">
        <v>-1.1100000000000001</v>
      </c>
      <c r="E194" s="27">
        <v>9.51</v>
      </c>
      <c r="F194" s="27">
        <v>1.07</v>
      </c>
      <c r="G194" s="40">
        <f t="shared" ref="G194:G277" si="722">C194-C195</f>
        <v>-9.9999999999994316E-2</v>
      </c>
      <c r="H194" s="40">
        <f t="shared" ref="H194" si="723">D194-D195</f>
        <v>0</v>
      </c>
      <c r="I194" s="40">
        <f t="shared" ref="I194" si="724">E194-E195</f>
        <v>0.16999999999999993</v>
      </c>
      <c r="J194" s="41">
        <f>SQRT(G194*G194+H194*H194+I194*I194)</f>
        <v>0.19723082923315727</v>
      </c>
      <c r="K194" s="39">
        <f>AVERAGE(F194:F195)</f>
        <v>1.1200000000000001</v>
      </c>
      <c r="L194" s="40">
        <f t="shared" ref="L194:L255" si="725">K194*0.1</f>
        <v>0.11200000000000002</v>
      </c>
      <c r="M194" s="46">
        <f t="shared" ref="M194:M200" si="726">ABS(F194-F195)</f>
        <v>9.9999999999999867E-2</v>
      </c>
      <c r="N194" s="43">
        <f>L194-M194</f>
        <v>1.2000000000000149E-2</v>
      </c>
      <c r="O194" s="1"/>
    </row>
    <row r="195" spans="1:15" ht="14.25" x14ac:dyDescent="0.15">
      <c r="A195" s="40"/>
      <c r="B195" s="44"/>
      <c r="C195" s="27">
        <v>92.49</v>
      </c>
      <c r="D195" s="28">
        <v>-1.1100000000000001</v>
      </c>
      <c r="E195" s="27">
        <v>9.34</v>
      </c>
      <c r="F195" s="27">
        <v>1.17</v>
      </c>
      <c r="G195" s="40"/>
      <c r="H195" s="40"/>
      <c r="I195" s="40"/>
      <c r="J195" s="41"/>
      <c r="K195" s="40"/>
      <c r="L195" s="40"/>
      <c r="M195" s="47"/>
      <c r="N195" s="43"/>
      <c r="O195" s="1"/>
    </row>
    <row r="196" spans="1:15" ht="14.25" x14ac:dyDescent="0.15">
      <c r="A196" s="40">
        <v>2</v>
      </c>
      <c r="B196" s="44"/>
      <c r="C196" s="27">
        <v>93.41</v>
      </c>
      <c r="D196" s="28">
        <v>-1.29</v>
      </c>
      <c r="E196" s="27">
        <v>8.91</v>
      </c>
      <c r="F196" s="27">
        <v>1.22</v>
      </c>
      <c r="G196" s="40">
        <f t="shared" si="722"/>
        <v>1.4500000000000028</v>
      </c>
      <c r="H196" s="40">
        <f t="shared" ref="H196" si="727">D196-D197</f>
        <v>-0.32000000000000006</v>
      </c>
      <c r="I196" s="40">
        <f t="shared" ref="I196" si="728">E196-E197</f>
        <v>0.89000000000000057</v>
      </c>
      <c r="J196" s="41">
        <f t="shared" ref="J196" si="729">SQRT(G196*G196+H196*H196+I196*I196)</f>
        <v>1.7311845655504237</v>
      </c>
      <c r="K196" s="39">
        <f t="shared" ref="K196" si="730">AVERAGE(F196:F197)</f>
        <v>1.165</v>
      </c>
      <c r="L196" s="40">
        <f t="shared" si="725"/>
        <v>0.11650000000000001</v>
      </c>
      <c r="M196" s="46">
        <f t="shared" si="726"/>
        <v>0.10999999999999988</v>
      </c>
      <c r="N196" s="43">
        <f t="shared" ref="N196" si="731">L196-M196</f>
        <v>6.5000000000001307E-3</v>
      </c>
      <c r="O196" s="1"/>
    </row>
    <row r="197" spans="1:15" ht="14.25" x14ac:dyDescent="0.15">
      <c r="A197" s="40"/>
      <c r="B197" s="44"/>
      <c r="C197" s="27">
        <v>91.96</v>
      </c>
      <c r="D197" s="28">
        <v>-0.97</v>
      </c>
      <c r="E197" s="27">
        <v>8.02</v>
      </c>
      <c r="F197" s="27">
        <v>1.1100000000000001</v>
      </c>
      <c r="G197" s="40"/>
      <c r="H197" s="40"/>
      <c r="I197" s="40"/>
      <c r="J197" s="41"/>
      <c r="K197" s="40"/>
      <c r="L197" s="40"/>
      <c r="M197" s="47"/>
      <c r="N197" s="43"/>
      <c r="O197" s="1"/>
    </row>
    <row r="198" spans="1:15" ht="14.25" x14ac:dyDescent="0.15">
      <c r="A198" s="40">
        <v>3</v>
      </c>
      <c r="B198" s="44"/>
      <c r="C198" s="27">
        <v>91.87</v>
      </c>
      <c r="D198" s="28">
        <v>-1.05</v>
      </c>
      <c r="E198" s="27">
        <v>9.52</v>
      </c>
      <c r="F198" s="27">
        <v>1.17</v>
      </c>
      <c r="G198" s="40">
        <f t="shared" si="722"/>
        <v>-3.0000000000001137E-2</v>
      </c>
      <c r="H198" s="40">
        <f t="shared" ref="H198" si="732">D198-D199</f>
        <v>0</v>
      </c>
      <c r="I198" s="40">
        <f t="shared" ref="I198" si="733">E198-E199</f>
        <v>0.1899999999999995</v>
      </c>
      <c r="J198" s="41">
        <f t="shared" ref="J198" si="734">SQRT(G198*G198+H198*H198+I198*I198)</f>
        <v>0.19235384061671312</v>
      </c>
      <c r="K198" s="39">
        <f t="shared" ref="K198" si="735">AVERAGE(F198:F199)</f>
        <v>1.22</v>
      </c>
      <c r="L198" s="40">
        <f t="shared" si="725"/>
        <v>0.122</v>
      </c>
      <c r="M198" s="46">
        <f t="shared" si="726"/>
        <v>0.10000000000000009</v>
      </c>
      <c r="N198" s="43">
        <f t="shared" ref="N198" si="736">L198-M198</f>
        <v>2.1999999999999909E-2</v>
      </c>
      <c r="O198" s="1"/>
    </row>
    <row r="199" spans="1:15" ht="14.25" x14ac:dyDescent="0.15">
      <c r="A199" s="40"/>
      <c r="B199" s="44"/>
      <c r="C199" s="27">
        <v>91.9</v>
      </c>
      <c r="D199" s="28">
        <v>-1.05</v>
      </c>
      <c r="E199" s="27">
        <v>9.33</v>
      </c>
      <c r="F199" s="27">
        <v>1.27</v>
      </c>
      <c r="G199" s="40"/>
      <c r="H199" s="40"/>
      <c r="I199" s="40"/>
      <c r="J199" s="41"/>
      <c r="K199" s="40"/>
      <c r="L199" s="40"/>
      <c r="M199" s="47"/>
      <c r="N199" s="43"/>
      <c r="O199" s="1"/>
    </row>
    <row r="200" spans="1:15" ht="14.25" x14ac:dyDescent="0.15">
      <c r="A200" s="40">
        <v>4</v>
      </c>
      <c r="B200" s="44"/>
      <c r="C200" s="27">
        <v>92.57</v>
      </c>
      <c r="D200" s="28">
        <v>-1.17</v>
      </c>
      <c r="E200" s="27">
        <v>9.59</v>
      </c>
      <c r="F200" s="27">
        <v>1.1200000000000001</v>
      </c>
      <c r="G200" s="40">
        <f t="shared" si="722"/>
        <v>0.52999999999998693</v>
      </c>
      <c r="H200" s="40">
        <f t="shared" ref="H200" si="737">D200-D201</f>
        <v>-9.9999999999999867E-2</v>
      </c>
      <c r="I200" s="40">
        <f t="shared" ref="I200" si="738">E200-E201</f>
        <v>1.9999999999999574E-2</v>
      </c>
      <c r="J200" s="41">
        <f t="shared" ref="J200" si="739">SQRT(G200*G200+H200*H200+I200*I200)</f>
        <v>0.53972215074053254</v>
      </c>
      <c r="K200" s="39">
        <f t="shared" ref="K200" si="740">AVERAGE(F200:F201)</f>
        <v>1.145</v>
      </c>
      <c r="L200" s="40">
        <f t="shared" si="725"/>
        <v>0.1145</v>
      </c>
      <c r="M200" s="46">
        <f t="shared" si="726"/>
        <v>4.9999999999999822E-2</v>
      </c>
      <c r="N200" s="43">
        <f t="shared" ref="N200" si="741">L200-M200</f>
        <v>6.4500000000000182E-2</v>
      </c>
      <c r="O200" s="1"/>
    </row>
    <row r="201" spans="1:15" ht="14.25" x14ac:dyDescent="0.15">
      <c r="A201" s="40"/>
      <c r="B201" s="44"/>
      <c r="C201" s="27">
        <v>92.04</v>
      </c>
      <c r="D201" s="28">
        <v>-1.07</v>
      </c>
      <c r="E201" s="27">
        <v>9.57</v>
      </c>
      <c r="F201" s="27">
        <v>1.17</v>
      </c>
      <c r="G201" s="40"/>
      <c r="H201" s="40"/>
      <c r="I201" s="40"/>
      <c r="J201" s="41"/>
      <c r="K201" s="40"/>
      <c r="L201" s="40"/>
      <c r="M201" s="47"/>
      <c r="N201" s="43"/>
      <c r="O201" s="1"/>
    </row>
    <row r="202" spans="1:15" ht="30" customHeight="1" x14ac:dyDescent="0.15">
      <c r="A202" s="37" t="s">
        <v>27</v>
      </c>
      <c r="B202" s="38"/>
      <c r="C202" s="28">
        <f>AVERAGE(C194:C201)</f>
        <v>92.328749999999985</v>
      </c>
      <c r="D202" s="28">
        <f t="shared" ref="D202" si="742">AVERAGE(D194:D201)</f>
        <v>-1.1025</v>
      </c>
      <c r="E202" s="28">
        <f t="shared" ref="E202" si="743">AVERAGE(E194:E201)</f>
        <v>9.223749999999999</v>
      </c>
      <c r="F202" s="28">
        <f t="shared" ref="F202" si="744">AVERAGE(F194:F201)</f>
        <v>1.1624999999999999</v>
      </c>
      <c r="G202" s="28">
        <f>AVERAGE(G194:G201)</f>
        <v>0.46249999999999858</v>
      </c>
      <c r="H202" s="28">
        <f t="shared" ref="H202" si="745">AVERAGE(H194:H201)</f>
        <v>-0.10499999999999998</v>
      </c>
      <c r="I202" s="28">
        <f t="shared" ref="I202" si="746">AVERAGE(I194:I201)</f>
        <v>0.31749999999999989</v>
      </c>
      <c r="J202" s="28">
        <f t="shared" ref="J202" si="747">AVERAGE(J194:J201)</f>
        <v>0.66512284653520659</v>
      </c>
      <c r="K202" s="28">
        <f t="shared" ref="K202" si="748">AVERAGE(K194:K201)</f>
        <v>1.1625000000000001</v>
      </c>
      <c r="L202" s="28">
        <f>AVERAGE(L194:L201)</f>
        <v>0.11625000000000001</v>
      </c>
      <c r="M202" s="28">
        <f t="shared" ref="M202" si="749">AVERAGE(M194:M201)</f>
        <v>8.9999999999999913E-2</v>
      </c>
      <c r="N202" s="28">
        <f t="shared" ref="N202" si="750">AVERAGE(N194:N201)</f>
        <v>2.6250000000000093E-2</v>
      </c>
      <c r="O202" s="1"/>
    </row>
    <row r="203" spans="1:15" ht="30" customHeight="1" x14ac:dyDescent="0.15">
      <c r="A203" s="37" t="s">
        <v>28</v>
      </c>
      <c r="B203" s="38"/>
      <c r="C203" s="28">
        <f>STDEV(C194:C201)</f>
        <v>0.51695364533831123</v>
      </c>
      <c r="D203" s="28">
        <f t="shared" ref="D203:N203" si="751">STDEV(D194:D201)</f>
        <v>9.5580930554762272E-2</v>
      </c>
      <c r="E203" s="28">
        <f t="shared" si="751"/>
        <v>0.53398602175391396</v>
      </c>
      <c r="F203" s="28">
        <f t="shared" si="751"/>
        <v>6.341473465550862E-2</v>
      </c>
      <c r="G203" s="28">
        <f>STDEV(G194:G201)</f>
        <v>0.71616455278564728</v>
      </c>
      <c r="H203" s="28">
        <f t="shared" si="751"/>
        <v>0.15088627063675039</v>
      </c>
      <c r="I203" s="28">
        <f t="shared" si="751"/>
        <v>0.38913365313218584</v>
      </c>
      <c r="J203" s="28">
        <f t="shared" si="751"/>
        <v>0.72907393225186945</v>
      </c>
      <c r="K203" s="28">
        <f t="shared" si="751"/>
        <v>4.2524502740576862E-2</v>
      </c>
      <c r="L203" s="28">
        <f>STDEV(L194:L201)</f>
        <v>4.2524502740576842E-3</v>
      </c>
      <c r="M203" s="28">
        <f t="shared" si="751"/>
        <v>2.7080128015453248E-2</v>
      </c>
      <c r="N203" s="28">
        <f t="shared" si="751"/>
        <v>2.6294803035327503E-2</v>
      </c>
      <c r="O203" s="1"/>
    </row>
    <row r="204" spans="1:15" ht="30" customHeight="1" x14ac:dyDescent="0.15">
      <c r="A204" s="37" t="s">
        <v>29</v>
      </c>
      <c r="B204" s="38"/>
      <c r="C204" s="28">
        <f>C203/C202*100</f>
        <v>0.55990538736667761</v>
      </c>
      <c r="D204" s="28">
        <f t="shared" ref="D204" si="752">D203/D202*100</f>
        <v>-8.66947215916211</v>
      </c>
      <c r="E204" s="28">
        <f t="shared" ref="E204" si="753">E203/E202*100</f>
        <v>5.7892508118055455</v>
      </c>
      <c r="F204" s="28">
        <f t="shared" ref="F204" si="754">F203/F202*100</f>
        <v>5.4550309381082691</v>
      </c>
      <c r="G204" s="28">
        <f>G203/G202*100</f>
        <v>154.84638979149179</v>
      </c>
      <c r="H204" s="28">
        <f t="shared" ref="H204" si="755">H203/H202*100</f>
        <v>-143.70121013023848</v>
      </c>
      <c r="I204" s="28">
        <f t="shared" ref="I204" si="756">I203/I202*100</f>
        <v>122.56178051407431</v>
      </c>
      <c r="J204" s="28">
        <f t="shared" ref="J204" si="757">J203/J202*100</f>
        <v>109.61492843762626</v>
      </c>
      <c r="K204" s="28">
        <f t="shared" ref="K204" si="758">K203/K202*100</f>
        <v>3.658021741124891</v>
      </c>
      <c r="L204" s="28">
        <f>L203/L202*100</f>
        <v>3.6580217411248892</v>
      </c>
      <c r="M204" s="28">
        <f t="shared" ref="M204" si="759">M203/M202*100</f>
        <v>30.08903112828142</v>
      </c>
      <c r="N204" s="28">
        <f t="shared" ref="N204" si="760">N203/N202*100</f>
        <v>100.17067822981871</v>
      </c>
      <c r="O204" s="1"/>
    </row>
    <row r="205" spans="1:15" ht="14.25" x14ac:dyDescent="0.15">
      <c r="A205" s="40">
        <v>5</v>
      </c>
      <c r="B205" s="44" t="s">
        <v>45</v>
      </c>
      <c r="C205" s="27">
        <v>92.15</v>
      </c>
      <c r="D205" s="28">
        <v>-1.05</v>
      </c>
      <c r="E205" s="27">
        <v>9.4600000000000009</v>
      </c>
      <c r="F205" s="27">
        <v>1.36</v>
      </c>
      <c r="G205" s="40">
        <f t="shared" si="722"/>
        <v>0</v>
      </c>
      <c r="H205" s="40">
        <f t="shared" ref="H205" si="761">D205-D206</f>
        <v>0</v>
      </c>
      <c r="I205" s="40">
        <f t="shared" ref="I205" si="762">E205-E206</f>
        <v>4.0000000000000924E-2</v>
      </c>
      <c r="J205" s="41">
        <f>SQRT(G205*G205+H205*H205+I205*I205)</f>
        <v>4.0000000000000924E-2</v>
      </c>
      <c r="K205" s="39">
        <f>AVERAGE(F205:F206)</f>
        <v>1.4</v>
      </c>
      <c r="L205" s="40">
        <f t="shared" si="725"/>
        <v>0.13999999999999999</v>
      </c>
      <c r="M205" s="46">
        <f t="shared" ref="M205:M211" si="763">ABS(F205-F206)</f>
        <v>7.9999999999999849E-2</v>
      </c>
      <c r="N205" s="43">
        <f>L205-M205</f>
        <v>6.0000000000000137E-2</v>
      </c>
      <c r="O205" s="1"/>
    </row>
    <row r="206" spans="1:15" ht="14.25" x14ac:dyDescent="0.15">
      <c r="A206" s="40"/>
      <c r="B206" s="44"/>
      <c r="C206" s="27">
        <v>92.15</v>
      </c>
      <c r="D206" s="28">
        <v>-1.05</v>
      </c>
      <c r="E206" s="27">
        <v>9.42</v>
      </c>
      <c r="F206" s="27">
        <v>1.44</v>
      </c>
      <c r="G206" s="40"/>
      <c r="H206" s="40"/>
      <c r="I206" s="40"/>
      <c r="J206" s="41"/>
      <c r="K206" s="40"/>
      <c r="L206" s="40"/>
      <c r="M206" s="47"/>
      <c r="N206" s="43"/>
      <c r="O206" s="1"/>
    </row>
    <row r="207" spans="1:15" ht="14.25" x14ac:dyDescent="0.15">
      <c r="A207" s="40">
        <v>6</v>
      </c>
      <c r="B207" s="44"/>
      <c r="C207" s="27">
        <v>91.91</v>
      </c>
      <c r="D207" s="28">
        <v>-1.01</v>
      </c>
      <c r="E207" s="27">
        <v>8.8800000000000008</v>
      </c>
      <c r="F207" s="27">
        <v>1.56</v>
      </c>
      <c r="G207" s="40">
        <f t="shared" si="722"/>
        <v>0.36999999999999034</v>
      </c>
      <c r="H207" s="40">
        <f t="shared" ref="H207" si="764">D207-D208</f>
        <v>-6.0000000000000053E-2</v>
      </c>
      <c r="I207" s="40">
        <f t="shared" ref="I207" si="765">E207-E208</f>
        <v>6.0000000000000497E-2</v>
      </c>
      <c r="J207" s="41">
        <f t="shared" ref="J207" si="766">SQRT(G207*G207+H207*H207+I207*I207)</f>
        <v>0.3796050579220368</v>
      </c>
      <c r="K207" s="39">
        <f t="shared" ref="K207" si="767">AVERAGE(F207:F208)</f>
        <v>1.5350000000000001</v>
      </c>
      <c r="L207" s="40">
        <f t="shared" si="725"/>
        <v>0.15350000000000003</v>
      </c>
      <c r="M207" s="46">
        <f t="shared" si="763"/>
        <v>5.0000000000000044E-2</v>
      </c>
      <c r="N207" s="43">
        <f t="shared" ref="N207" si="768">L207-M207</f>
        <v>0.10349999999999998</v>
      </c>
      <c r="O207" s="1"/>
    </row>
    <row r="208" spans="1:15" ht="14.25" x14ac:dyDescent="0.15">
      <c r="A208" s="40"/>
      <c r="B208" s="44"/>
      <c r="C208" s="27">
        <v>91.54</v>
      </c>
      <c r="D208" s="28">
        <v>-0.95</v>
      </c>
      <c r="E208" s="27">
        <v>8.82</v>
      </c>
      <c r="F208" s="27">
        <v>1.51</v>
      </c>
      <c r="G208" s="40"/>
      <c r="H208" s="40"/>
      <c r="I208" s="40"/>
      <c r="J208" s="41"/>
      <c r="K208" s="40"/>
      <c r="L208" s="40"/>
      <c r="M208" s="47"/>
      <c r="N208" s="43"/>
      <c r="O208" s="1"/>
    </row>
    <row r="209" spans="1:15" ht="14.25" x14ac:dyDescent="0.15">
      <c r="A209" s="40">
        <v>7</v>
      </c>
      <c r="B209" s="44"/>
      <c r="C209" s="27">
        <v>91.97</v>
      </c>
      <c r="D209" s="28">
        <v>-1.0900000000000001</v>
      </c>
      <c r="E209" s="27">
        <v>9.59</v>
      </c>
      <c r="F209" s="27">
        <v>1.51</v>
      </c>
      <c r="G209" s="40">
        <f t="shared" si="722"/>
        <v>0.40000000000000568</v>
      </c>
      <c r="H209" s="40">
        <f t="shared" ref="H209" si="769">D209-D210</f>
        <v>-9.000000000000008E-2</v>
      </c>
      <c r="I209" s="40">
        <f t="shared" ref="I209" si="770">E209-E210</f>
        <v>0.23000000000000043</v>
      </c>
      <c r="J209" s="41">
        <f t="shared" ref="J209" si="771">SQRT(G209*G209+H209*H209+I209*I209)</f>
        <v>0.47010637094173141</v>
      </c>
      <c r="K209" s="39">
        <f t="shared" ref="K209" si="772">AVERAGE(F209:F210)</f>
        <v>1.4750000000000001</v>
      </c>
      <c r="L209" s="40">
        <f t="shared" si="725"/>
        <v>0.14750000000000002</v>
      </c>
      <c r="M209" s="46">
        <f t="shared" si="763"/>
        <v>7.0000000000000062E-2</v>
      </c>
      <c r="N209" s="43">
        <f t="shared" ref="N209" si="773">L209-M209</f>
        <v>7.7499999999999958E-2</v>
      </c>
      <c r="O209" s="1"/>
    </row>
    <row r="210" spans="1:15" ht="14.25" x14ac:dyDescent="0.15">
      <c r="A210" s="40"/>
      <c r="B210" s="44"/>
      <c r="C210" s="27">
        <v>91.57</v>
      </c>
      <c r="D210" s="28">
        <v>-1</v>
      </c>
      <c r="E210" s="27">
        <v>9.36</v>
      </c>
      <c r="F210" s="27">
        <v>1.44</v>
      </c>
      <c r="G210" s="40"/>
      <c r="H210" s="40"/>
      <c r="I210" s="40"/>
      <c r="J210" s="41"/>
      <c r="K210" s="40"/>
      <c r="L210" s="40"/>
      <c r="M210" s="47"/>
      <c r="N210" s="43"/>
      <c r="O210" s="1"/>
    </row>
    <row r="211" spans="1:15" ht="14.25" x14ac:dyDescent="0.15">
      <c r="A211" s="40">
        <v>8</v>
      </c>
      <c r="B211" s="44"/>
      <c r="C211" s="27">
        <v>91.79</v>
      </c>
      <c r="D211" s="28">
        <v>-1.04</v>
      </c>
      <c r="E211" s="27">
        <v>9.6999999999999993</v>
      </c>
      <c r="F211" s="27">
        <v>1.44</v>
      </c>
      <c r="G211" s="40">
        <f t="shared" si="722"/>
        <v>-0.39000000000000057</v>
      </c>
      <c r="H211" s="40">
        <f t="shared" ref="H211" si="774">D211-D212</f>
        <v>8.0000000000000071E-2</v>
      </c>
      <c r="I211" s="40">
        <f t="shared" ref="I211" si="775">E211-E212</f>
        <v>0</v>
      </c>
      <c r="J211" s="41">
        <f t="shared" ref="J211" si="776">SQRT(G211*G211+H211*H211+I211*I211)</f>
        <v>0.39812058474788825</v>
      </c>
      <c r="K211" s="39">
        <f t="shared" ref="K211" si="777">AVERAGE(F211:F212)</f>
        <v>1.4649999999999999</v>
      </c>
      <c r="L211" s="40">
        <f t="shared" si="725"/>
        <v>0.14649999999999999</v>
      </c>
      <c r="M211" s="46">
        <f t="shared" si="763"/>
        <v>5.0000000000000044E-2</v>
      </c>
      <c r="N211" s="43">
        <f t="shared" ref="N211" si="778">L211-M211</f>
        <v>9.6499999999999947E-2</v>
      </c>
      <c r="O211" s="1"/>
    </row>
    <row r="212" spans="1:15" ht="14.25" x14ac:dyDescent="0.15">
      <c r="A212" s="40"/>
      <c r="B212" s="44"/>
      <c r="C212" s="27">
        <v>92.18</v>
      </c>
      <c r="D212" s="28">
        <v>-1.1200000000000001</v>
      </c>
      <c r="E212" s="27">
        <v>9.6999999999999993</v>
      </c>
      <c r="F212" s="27">
        <v>1.49</v>
      </c>
      <c r="G212" s="40"/>
      <c r="H212" s="40"/>
      <c r="I212" s="40"/>
      <c r="J212" s="41"/>
      <c r="K212" s="40"/>
      <c r="L212" s="40"/>
      <c r="M212" s="47"/>
      <c r="N212" s="43"/>
      <c r="O212" s="1"/>
    </row>
    <row r="213" spans="1:15" ht="30" customHeight="1" x14ac:dyDescent="0.15">
      <c r="A213" s="37" t="s">
        <v>27</v>
      </c>
      <c r="B213" s="38"/>
      <c r="C213" s="28">
        <f>AVERAGE(C205:C212)</f>
        <v>91.907499999999999</v>
      </c>
      <c r="D213" s="28">
        <f>AVERAGE(D205:D212)</f>
        <v>-1.0387500000000001</v>
      </c>
      <c r="E213" s="28">
        <f t="shared" ref="E213" si="779">AVERAGE(E205:E212)</f>
        <v>9.3662500000000009</v>
      </c>
      <c r="F213" s="28">
        <f t="shared" ref="F213" si="780">AVERAGE(F205:F212)</f>
        <v>1.4687499999999998</v>
      </c>
      <c r="G213" s="28">
        <f>AVERAGE(G205:G212)</f>
        <v>9.4999999999998863E-2</v>
      </c>
      <c r="H213" s="28">
        <f t="shared" ref="H213" si="781">AVERAGE(H205:H212)</f>
        <v>-1.7500000000000016E-2</v>
      </c>
      <c r="I213" s="28">
        <f t="shared" ref="I213" si="782">AVERAGE(I205:I212)</f>
        <v>8.2500000000000462E-2</v>
      </c>
      <c r="J213" s="28">
        <f t="shared" ref="J213" si="783">AVERAGE(J205:J212)</f>
        <v>0.32195800340291436</v>
      </c>
      <c r="K213" s="28">
        <f t="shared" ref="K213" si="784">AVERAGE(K205:K212)</f>
        <v>1.46875</v>
      </c>
      <c r="L213" s="28">
        <f t="shared" ref="L213" si="785">AVERAGE(L205:L212)</f>
        <v>0.14687500000000001</v>
      </c>
      <c r="M213" s="28">
        <f t="shared" ref="M213" si="786">AVERAGE(M205:M212)</f>
        <v>6.25E-2</v>
      </c>
      <c r="N213" s="28">
        <f t="shared" ref="N213" si="787">AVERAGE(N205:N212)</f>
        <v>8.4375000000000006E-2</v>
      </c>
      <c r="O213" s="1"/>
    </row>
    <row r="214" spans="1:15" ht="30" customHeight="1" x14ac:dyDescent="0.15">
      <c r="A214" s="37" t="s">
        <v>28</v>
      </c>
      <c r="B214" s="38"/>
      <c r="C214" s="28">
        <f>STDEV(C205:C212)</f>
        <v>0.25594363218713595</v>
      </c>
      <c r="D214" s="28">
        <f>STDEV(D205:D212)</f>
        <v>5.3033008588991112E-2</v>
      </c>
      <c r="E214" s="28">
        <f t="shared" ref="E214:N214" si="788">STDEV(E205:E212)</f>
        <v>0.34213353700398452</v>
      </c>
      <c r="F214" s="28">
        <f t="shared" si="788"/>
        <v>6.1513645408385373E-2</v>
      </c>
      <c r="G214" s="28">
        <f>STDEV(G205:G212)</f>
        <v>0.37098966742125433</v>
      </c>
      <c r="H214" s="28">
        <f t="shared" si="788"/>
        <v>7.5000000000000067E-2</v>
      </c>
      <c r="I214" s="28">
        <f t="shared" si="788"/>
        <v>0.10144785195688806</v>
      </c>
      <c r="J214" s="28">
        <f t="shared" si="788"/>
        <v>0.19198279105103341</v>
      </c>
      <c r="K214" s="28">
        <f t="shared" si="788"/>
        <v>5.528336096874005E-2</v>
      </c>
      <c r="L214" s="28">
        <f t="shared" si="788"/>
        <v>5.5283360968740123E-3</v>
      </c>
      <c r="M214" s="28">
        <f t="shared" si="788"/>
        <v>1.4999999999999944E-2</v>
      </c>
      <c r="N214" s="28">
        <f t="shared" si="788"/>
        <v>1.9614514183804416E-2</v>
      </c>
      <c r="O214" s="1"/>
    </row>
    <row r="215" spans="1:15" ht="30" customHeight="1" x14ac:dyDescent="0.15">
      <c r="A215" s="37" t="s">
        <v>29</v>
      </c>
      <c r="B215" s="38"/>
      <c r="C215" s="28">
        <f>C214/C213*100</f>
        <v>0.27847959327273175</v>
      </c>
      <c r="D215" s="28">
        <f>D214/D213*100</f>
        <v>-5.1054641240906005</v>
      </c>
      <c r="E215" s="28">
        <f t="shared" ref="E215" si="789">E214/E213*100</f>
        <v>3.6528337061682583</v>
      </c>
      <c r="F215" s="28">
        <f t="shared" ref="F215" si="790">F214/F213*100</f>
        <v>4.188163091634749</v>
      </c>
      <c r="G215" s="28">
        <f>G214/G213*100</f>
        <v>390.51543939079869</v>
      </c>
      <c r="H215" s="28">
        <f t="shared" ref="H215" si="791">H214/H213*100</f>
        <v>-428.57142857142856</v>
      </c>
      <c r="I215" s="28">
        <f t="shared" ref="I215" si="792">I214/I213*100</f>
        <v>122.96709328107576</v>
      </c>
      <c r="J215" s="28">
        <f t="shared" ref="J215" si="793">J214/J213*100</f>
        <v>59.629761963325556</v>
      </c>
      <c r="K215" s="28">
        <f t="shared" ref="K215" si="794">K214/K213*100</f>
        <v>3.76397351276528</v>
      </c>
      <c r="L215" s="28">
        <f t="shared" ref="L215" si="795">L214/L213*100</f>
        <v>3.7639735127652849</v>
      </c>
      <c r="M215" s="28">
        <f t="shared" ref="M215" si="796">M214/M213*100</f>
        <v>23.999999999999911</v>
      </c>
      <c r="N215" s="28">
        <f t="shared" ref="N215" si="797">N214/N213*100</f>
        <v>23.246831625249676</v>
      </c>
      <c r="O215" s="1"/>
    </row>
    <row r="216" spans="1:15" ht="14.25" x14ac:dyDescent="0.15">
      <c r="A216" s="40">
        <v>9</v>
      </c>
      <c r="B216" s="44" t="s">
        <v>46</v>
      </c>
      <c r="C216" s="27">
        <v>91.75</v>
      </c>
      <c r="D216" s="28">
        <v>-0.99</v>
      </c>
      <c r="E216" s="27">
        <v>9.24</v>
      </c>
      <c r="F216" s="27">
        <v>1.62</v>
      </c>
      <c r="G216" s="40">
        <f t="shared" si="722"/>
        <v>1.9999999999996021E-2</v>
      </c>
      <c r="H216" s="40">
        <f t="shared" ref="H216" si="798">D216-D217</f>
        <v>2.0000000000000018E-2</v>
      </c>
      <c r="I216" s="40">
        <f t="shared" ref="I216" si="799">E216-E217</f>
        <v>-0.25999999999999979</v>
      </c>
      <c r="J216" s="41">
        <f>SQRT(G216*G216+H216*H216+I216*I216)</f>
        <v>0.2615339366124399</v>
      </c>
      <c r="K216" s="39">
        <f>AVERAGE(F216:F217)</f>
        <v>1.61</v>
      </c>
      <c r="L216" s="40">
        <f t="shared" si="725"/>
        <v>0.16100000000000003</v>
      </c>
      <c r="M216" s="46">
        <f t="shared" ref="M216:M222" si="800">ABS(F216-F217)</f>
        <v>2.0000000000000018E-2</v>
      </c>
      <c r="N216" s="43">
        <f>L216-M216</f>
        <v>0.14100000000000001</v>
      </c>
      <c r="O216" s="1"/>
    </row>
    <row r="217" spans="1:15" ht="14.25" x14ac:dyDescent="0.15">
      <c r="A217" s="40"/>
      <c r="B217" s="44"/>
      <c r="C217" s="27">
        <v>91.73</v>
      </c>
      <c r="D217" s="28">
        <v>-1.01</v>
      </c>
      <c r="E217" s="27">
        <v>9.5</v>
      </c>
      <c r="F217" s="27">
        <v>1.6</v>
      </c>
      <c r="G217" s="40"/>
      <c r="H217" s="40"/>
      <c r="I217" s="40"/>
      <c r="J217" s="41"/>
      <c r="K217" s="40"/>
      <c r="L217" s="40"/>
      <c r="M217" s="47"/>
      <c r="N217" s="43"/>
      <c r="O217" s="1"/>
    </row>
    <row r="218" spans="1:15" ht="14.25" customHeight="1" x14ac:dyDescent="0.15">
      <c r="A218" s="40">
        <v>10</v>
      </c>
      <c r="B218" s="44"/>
      <c r="C218" s="27">
        <v>91.15</v>
      </c>
      <c r="D218" s="28">
        <v>-0.93</v>
      </c>
      <c r="E218" s="27">
        <v>9.17</v>
      </c>
      <c r="F218" s="27">
        <v>2.1</v>
      </c>
      <c r="G218" s="40">
        <f t="shared" si="722"/>
        <v>-0.44999999999998863</v>
      </c>
      <c r="H218" s="40">
        <f t="shared" ref="H218" si="801">D218-D219</f>
        <v>0.17000000000000004</v>
      </c>
      <c r="I218" s="40">
        <f t="shared" ref="I218" si="802">E218-E219</f>
        <v>0.16000000000000014</v>
      </c>
      <c r="J218" s="41">
        <f t="shared" ref="J218" si="803">SQRT(G218*G218+H218*H218+I218*I218)</f>
        <v>0.50695167422545306</v>
      </c>
      <c r="K218" s="39">
        <f t="shared" ref="K218" si="804">AVERAGE(F218:F219)</f>
        <v>2.08</v>
      </c>
      <c r="L218" s="40">
        <f t="shared" si="725"/>
        <v>0.20800000000000002</v>
      </c>
      <c r="M218" s="46">
        <f t="shared" si="800"/>
        <v>4.0000000000000036E-2</v>
      </c>
      <c r="N218" s="43">
        <f t="shared" ref="N218" si="805">L218-M218</f>
        <v>0.16799999999999998</v>
      </c>
      <c r="O218" s="1"/>
    </row>
    <row r="219" spans="1:15" ht="14.25" x14ac:dyDescent="0.15">
      <c r="A219" s="40"/>
      <c r="B219" s="44"/>
      <c r="C219" s="27">
        <v>91.6</v>
      </c>
      <c r="D219" s="28">
        <v>-1.1000000000000001</v>
      </c>
      <c r="E219" s="27">
        <v>9.01</v>
      </c>
      <c r="F219" s="27">
        <v>2.06</v>
      </c>
      <c r="G219" s="40"/>
      <c r="H219" s="40"/>
      <c r="I219" s="40"/>
      <c r="J219" s="41"/>
      <c r="K219" s="40"/>
      <c r="L219" s="40"/>
      <c r="M219" s="47"/>
      <c r="N219" s="43"/>
      <c r="O219" s="1"/>
    </row>
    <row r="220" spans="1:15" ht="14.25" x14ac:dyDescent="0.15">
      <c r="A220" s="40">
        <v>11</v>
      </c>
      <c r="B220" s="44"/>
      <c r="C220" s="27">
        <v>91.17</v>
      </c>
      <c r="D220" s="28">
        <v>-0.95</v>
      </c>
      <c r="E220" s="27">
        <v>9.75</v>
      </c>
      <c r="F220" s="27">
        <v>1.83</v>
      </c>
      <c r="G220" s="40">
        <f t="shared" si="722"/>
        <v>-0.32999999999999829</v>
      </c>
      <c r="H220" s="40">
        <f t="shared" ref="H220" si="806">D220-D221</f>
        <v>5.0000000000000044E-2</v>
      </c>
      <c r="I220" s="40">
        <f t="shared" ref="I220" si="807">E220-E221</f>
        <v>0.27999999999999936</v>
      </c>
      <c r="J220" s="41">
        <f t="shared" ref="J220" si="808">SQRT(G220*G220+H220*H220+I220*I220)</f>
        <v>0.43566041821583762</v>
      </c>
      <c r="K220" s="39">
        <f t="shared" ref="K220" si="809">AVERAGE(F220:F221)</f>
        <v>1.8</v>
      </c>
      <c r="L220" s="40">
        <f t="shared" si="725"/>
        <v>0.18000000000000002</v>
      </c>
      <c r="M220" s="46">
        <f t="shared" si="800"/>
        <v>6.0000000000000053E-2</v>
      </c>
      <c r="N220" s="43">
        <f t="shared" ref="N220" si="810">L220-M220</f>
        <v>0.11999999999999997</v>
      </c>
      <c r="O220" s="1"/>
    </row>
    <row r="221" spans="1:15" ht="14.25" x14ac:dyDescent="0.15">
      <c r="A221" s="40"/>
      <c r="B221" s="44"/>
      <c r="C221" s="27">
        <v>91.5</v>
      </c>
      <c r="D221" s="28">
        <v>-1</v>
      </c>
      <c r="E221" s="27">
        <v>9.4700000000000006</v>
      </c>
      <c r="F221" s="27">
        <v>1.77</v>
      </c>
      <c r="G221" s="40"/>
      <c r="H221" s="40"/>
      <c r="I221" s="40"/>
      <c r="J221" s="41"/>
      <c r="K221" s="40"/>
      <c r="L221" s="40"/>
      <c r="M221" s="47"/>
      <c r="N221" s="43"/>
      <c r="O221" s="1"/>
    </row>
    <row r="222" spans="1:15" ht="14.25" customHeight="1" x14ac:dyDescent="0.15">
      <c r="A222" s="40">
        <v>12</v>
      </c>
      <c r="B222" s="44"/>
      <c r="C222" s="27">
        <v>91.32</v>
      </c>
      <c r="D222" s="28">
        <v>-0.95</v>
      </c>
      <c r="E222" s="27">
        <v>9.7200000000000006</v>
      </c>
      <c r="F222" s="27">
        <v>1.7</v>
      </c>
      <c r="G222" s="40">
        <f t="shared" si="722"/>
        <v>-0.35000000000000853</v>
      </c>
      <c r="H222" s="40">
        <f t="shared" ref="H222" si="811">D222-D223</f>
        <v>9.000000000000008E-2</v>
      </c>
      <c r="I222" s="40">
        <f t="shared" ref="I222" si="812">E222-E223</f>
        <v>-0.19999999999999929</v>
      </c>
      <c r="J222" s="41">
        <f t="shared" ref="J222" si="813">SQRT(G222*G222+H222*H222+I222*I222)</f>
        <v>0.41303752856127457</v>
      </c>
      <c r="K222" s="39">
        <f t="shared" ref="K222" si="814">AVERAGE(F222:F223)</f>
        <v>1.6600000000000001</v>
      </c>
      <c r="L222" s="40">
        <f t="shared" si="725"/>
        <v>0.16600000000000004</v>
      </c>
      <c r="M222" s="46">
        <f t="shared" si="800"/>
        <v>7.9999999999999849E-2</v>
      </c>
      <c r="N222" s="43">
        <f t="shared" ref="N222" si="815">L222-M222</f>
        <v>8.6000000000000187E-2</v>
      </c>
      <c r="O222" s="1"/>
    </row>
    <row r="223" spans="1:15" ht="14.25" x14ac:dyDescent="0.15">
      <c r="A223" s="40"/>
      <c r="B223" s="44"/>
      <c r="C223" s="27">
        <v>91.67</v>
      </c>
      <c r="D223" s="28">
        <v>-1.04</v>
      </c>
      <c r="E223" s="27">
        <v>9.92</v>
      </c>
      <c r="F223" s="27">
        <v>1.62</v>
      </c>
      <c r="G223" s="40"/>
      <c r="H223" s="40"/>
      <c r="I223" s="40"/>
      <c r="J223" s="41"/>
      <c r="K223" s="40"/>
      <c r="L223" s="40"/>
      <c r="M223" s="47"/>
      <c r="N223" s="43"/>
      <c r="O223" s="1"/>
    </row>
    <row r="224" spans="1:15" ht="30" customHeight="1" x14ac:dyDescent="0.15">
      <c r="A224" s="37" t="s">
        <v>27</v>
      </c>
      <c r="B224" s="38"/>
      <c r="C224" s="28">
        <f>AVERAGE(C216:C223)</f>
        <v>91.486249999999998</v>
      </c>
      <c r="D224" s="28">
        <f t="shared" ref="D224" si="816">AVERAGE(D216:D223)</f>
        <v>-0.99625000000000008</v>
      </c>
      <c r="E224" s="28">
        <f>AVERAGE(E216:E223)</f>
        <v>9.4725000000000001</v>
      </c>
      <c r="F224" s="28">
        <f t="shared" ref="F224" si="817">AVERAGE(F216:F223)</f>
        <v>1.7875000000000001</v>
      </c>
      <c r="G224" s="28">
        <f t="shared" ref="G224" si="818">AVERAGE(G216:G223)</f>
        <v>-0.27749999999999986</v>
      </c>
      <c r="H224" s="28">
        <f t="shared" ref="H224" si="819">AVERAGE(H216:H223)</f>
        <v>8.2500000000000046E-2</v>
      </c>
      <c r="I224" s="28">
        <f t="shared" ref="I224" si="820">AVERAGE(I216:I223)</f>
        <v>-4.9999999999998934E-3</v>
      </c>
      <c r="J224" s="28">
        <f t="shared" ref="J224" si="821">AVERAGE(J216:J223)</f>
        <v>0.40429588940375133</v>
      </c>
      <c r="K224" s="28">
        <f t="shared" ref="K224" si="822">AVERAGE(K216:K223)</f>
        <v>1.7875000000000001</v>
      </c>
      <c r="L224" s="28">
        <f t="shared" ref="L224" si="823">AVERAGE(L216:L223)</f>
        <v>0.17875000000000002</v>
      </c>
      <c r="M224" s="28">
        <f t="shared" ref="M224" si="824">AVERAGE(M216:M223)</f>
        <v>4.9999999999999989E-2</v>
      </c>
      <c r="N224" s="28">
        <f t="shared" ref="N224" si="825">AVERAGE(N216:N223)</f>
        <v>0.12875000000000003</v>
      </c>
      <c r="O224" s="1"/>
    </row>
    <row r="225" spans="1:15" ht="30" customHeight="1" x14ac:dyDescent="0.15">
      <c r="A225" s="37" t="s">
        <v>28</v>
      </c>
      <c r="B225" s="38"/>
      <c r="C225" s="28">
        <f>STDEV(C216:C223)</f>
        <v>0.24395183950935848</v>
      </c>
      <c r="D225" s="28">
        <f t="shared" ref="D225:N225" si="826">STDEV(D216:D223)</f>
        <v>5.5533130394644373E-2</v>
      </c>
      <c r="E225" s="28">
        <f>STDEV(E216:E223)</f>
        <v>0.31594529363709251</v>
      </c>
      <c r="F225" s="28">
        <f t="shared" si="826"/>
        <v>0.19746609112163377</v>
      </c>
      <c r="G225" s="28">
        <f t="shared" si="826"/>
        <v>0.20516253719104016</v>
      </c>
      <c r="H225" s="28">
        <f t="shared" si="826"/>
        <v>6.5000000000000002E-2</v>
      </c>
      <c r="I225" s="28">
        <f t="shared" si="826"/>
        <v>0.26551836094703463</v>
      </c>
      <c r="J225" s="28">
        <f t="shared" si="826"/>
        <v>0.10324620290824676</v>
      </c>
      <c r="K225" s="28">
        <f t="shared" si="826"/>
        <v>0.21093047827819217</v>
      </c>
      <c r="L225" s="28">
        <f t="shared" si="826"/>
        <v>2.1093047827819348E-2</v>
      </c>
      <c r="M225" s="28">
        <f t="shared" si="826"/>
        <v>2.5819888974716057E-2</v>
      </c>
      <c r="N225" s="28">
        <f t="shared" si="826"/>
        <v>3.4615747861341854E-2</v>
      </c>
      <c r="O225" s="1"/>
    </row>
    <row r="226" spans="1:15" ht="30" customHeight="1" x14ac:dyDescent="0.15">
      <c r="A226" s="37" t="s">
        <v>29</v>
      </c>
      <c r="B226" s="38"/>
      <c r="C226" s="28">
        <f>C225/C224*100</f>
        <v>0.26665410322246075</v>
      </c>
      <c r="D226" s="28">
        <f t="shared" ref="D226" si="827">D225/D224*100</f>
        <v>-5.574216350779861</v>
      </c>
      <c r="E226" s="28">
        <f>E225/E224*100</f>
        <v>3.3353950238806283</v>
      </c>
      <c r="F226" s="28">
        <f t="shared" ref="F226" si="828">F225/F224*100</f>
        <v>11.047054048762728</v>
      </c>
      <c r="G226" s="28">
        <f t="shared" ref="G226" si="829">G225/G224*100</f>
        <v>-73.932445834609112</v>
      </c>
      <c r="H226" s="28">
        <f t="shared" ref="H226" si="830">H225/H224*100</f>
        <v>78.787878787878753</v>
      </c>
      <c r="I226" s="28">
        <f t="shared" ref="I226" si="831">I225/I224*100</f>
        <v>-5310.3672189408062</v>
      </c>
      <c r="J226" s="28">
        <f t="shared" ref="J226" si="832">J225/J224*100</f>
        <v>25.537287322043394</v>
      </c>
      <c r="K226" s="28">
        <f t="shared" ref="K226" si="833">K225/K224*100</f>
        <v>11.800306477101659</v>
      </c>
      <c r="L226" s="28">
        <f t="shared" ref="L226" si="834">L225/L224*100</f>
        <v>11.800306477101733</v>
      </c>
      <c r="M226" s="28">
        <f t="shared" ref="M226" si="835">M225/M224*100</f>
        <v>51.63977794943213</v>
      </c>
      <c r="N226" s="28">
        <f t="shared" ref="N226" si="836">N225/N224*100</f>
        <v>26.886017756382014</v>
      </c>
      <c r="O226" s="1"/>
    </row>
    <row r="227" spans="1:15" ht="14.25" x14ac:dyDescent="0.15">
      <c r="A227" s="40">
        <v>13</v>
      </c>
      <c r="B227" s="44" t="s">
        <v>47</v>
      </c>
      <c r="C227" s="27">
        <v>91.52</v>
      </c>
      <c r="D227" s="28">
        <v>-0.97</v>
      </c>
      <c r="E227" s="27">
        <v>9.4</v>
      </c>
      <c r="F227" s="27">
        <v>2.09</v>
      </c>
      <c r="G227" s="40">
        <f t="shared" si="722"/>
        <v>-7.000000000000739E-2</v>
      </c>
      <c r="H227" s="40">
        <f t="shared" ref="H227" si="837">D227-D228</f>
        <v>0</v>
      </c>
      <c r="I227" s="40">
        <f t="shared" ref="I227" si="838">E227-E228</f>
        <v>0.13000000000000078</v>
      </c>
      <c r="J227" s="41">
        <f>SQRT(G227*G227+H227*H227+I227*I227)</f>
        <v>0.1476482306023382</v>
      </c>
      <c r="K227" s="39">
        <f>AVERAGE(F227:F228)</f>
        <v>2.0949999999999998</v>
      </c>
      <c r="L227" s="40">
        <f t="shared" si="725"/>
        <v>0.20949999999999999</v>
      </c>
      <c r="M227" s="46">
        <f t="shared" ref="M227:M233" si="839">ABS(F227-F228)</f>
        <v>1.0000000000000231E-2</v>
      </c>
      <c r="N227" s="43">
        <f>L227-M227</f>
        <v>0.19949999999999976</v>
      </c>
      <c r="O227" s="1"/>
    </row>
    <row r="228" spans="1:15" ht="14.25" x14ac:dyDescent="0.15">
      <c r="A228" s="40"/>
      <c r="B228" s="44"/>
      <c r="C228" s="27">
        <v>91.59</v>
      </c>
      <c r="D228" s="28">
        <v>-0.97</v>
      </c>
      <c r="E228" s="27">
        <v>9.27</v>
      </c>
      <c r="F228" s="27">
        <v>2.1</v>
      </c>
      <c r="G228" s="40"/>
      <c r="H228" s="40"/>
      <c r="I228" s="40"/>
      <c r="J228" s="41"/>
      <c r="K228" s="40"/>
      <c r="L228" s="40"/>
      <c r="M228" s="47"/>
      <c r="N228" s="43"/>
      <c r="O228" s="1"/>
    </row>
    <row r="229" spans="1:15" ht="14.25" x14ac:dyDescent="0.15">
      <c r="A229" s="40">
        <v>14</v>
      </c>
      <c r="B229" s="44"/>
      <c r="C229" s="27">
        <v>90.94</v>
      </c>
      <c r="D229" s="28">
        <v>-0.85</v>
      </c>
      <c r="E229" s="27">
        <v>9.08</v>
      </c>
      <c r="F229" s="27">
        <v>2.0299999999999998</v>
      </c>
      <c r="G229" s="40">
        <f t="shared" si="722"/>
        <v>-0.31000000000000227</v>
      </c>
      <c r="H229" s="40">
        <f t="shared" ref="H229" si="840">D229-D230</f>
        <v>5.0000000000000044E-2</v>
      </c>
      <c r="I229" s="40">
        <f t="shared" ref="I229" si="841">E229-E230</f>
        <v>0.11999999999999922</v>
      </c>
      <c r="J229" s="41">
        <f t="shared" ref="J229" si="842">SQRT(G229*G229+H229*H229+I229*I229)</f>
        <v>0.33615472627943405</v>
      </c>
      <c r="K229" s="39">
        <f t="shared" ref="K229" si="843">AVERAGE(F229:F230)</f>
        <v>1.98</v>
      </c>
      <c r="L229" s="40">
        <f t="shared" si="725"/>
        <v>0.19800000000000001</v>
      </c>
      <c r="M229" s="46">
        <f t="shared" si="839"/>
        <v>9.9999999999999867E-2</v>
      </c>
      <c r="N229" s="43">
        <f t="shared" ref="N229" si="844">L229-M229</f>
        <v>9.8000000000000143E-2</v>
      </c>
      <c r="O229" s="1"/>
    </row>
    <row r="230" spans="1:15" ht="14.25" x14ac:dyDescent="0.15">
      <c r="A230" s="40"/>
      <c r="B230" s="44"/>
      <c r="C230" s="27">
        <v>91.25</v>
      </c>
      <c r="D230" s="28">
        <v>-0.9</v>
      </c>
      <c r="E230" s="27">
        <v>8.9600000000000009</v>
      </c>
      <c r="F230" s="27">
        <v>1.93</v>
      </c>
      <c r="G230" s="40"/>
      <c r="H230" s="40"/>
      <c r="I230" s="40"/>
      <c r="J230" s="41"/>
      <c r="K230" s="40"/>
      <c r="L230" s="40"/>
      <c r="M230" s="47"/>
      <c r="N230" s="43"/>
      <c r="O230" s="1"/>
    </row>
    <row r="231" spans="1:15" ht="14.25" x14ac:dyDescent="0.15">
      <c r="A231" s="40">
        <v>15</v>
      </c>
      <c r="B231" s="44"/>
      <c r="C231" s="27">
        <v>91.36</v>
      </c>
      <c r="D231" s="28">
        <v>-0.97</v>
      </c>
      <c r="E231" s="27">
        <v>9.8000000000000007</v>
      </c>
      <c r="F231" s="27">
        <v>1.87</v>
      </c>
      <c r="G231" s="40">
        <f t="shared" si="722"/>
        <v>0.32999999999999829</v>
      </c>
      <c r="H231" s="40">
        <f t="shared" ref="H231" si="845">D231-D232</f>
        <v>-4.9999999999999933E-2</v>
      </c>
      <c r="I231" s="40">
        <f t="shared" ref="I231" si="846">E231-E232</f>
        <v>4.0000000000000924E-2</v>
      </c>
      <c r="J231" s="41">
        <f t="shared" ref="J231" si="847">SQRT(G231*G231+H231*H231+I231*I231)</f>
        <v>0.33615472627943066</v>
      </c>
      <c r="K231" s="39">
        <f t="shared" ref="K231" si="848">AVERAGE(F231:F232)</f>
        <v>1.9300000000000002</v>
      </c>
      <c r="L231" s="40">
        <f t="shared" si="725"/>
        <v>0.19300000000000003</v>
      </c>
      <c r="M231" s="46">
        <f t="shared" si="839"/>
        <v>0.11999999999999988</v>
      </c>
      <c r="N231" s="43">
        <f t="shared" ref="N231" si="849">L231-M231</f>
        <v>7.3000000000000148E-2</v>
      </c>
      <c r="O231" s="1"/>
    </row>
    <row r="232" spans="1:15" ht="14.25" x14ac:dyDescent="0.15">
      <c r="A232" s="40"/>
      <c r="B232" s="44"/>
      <c r="C232" s="27">
        <v>91.03</v>
      </c>
      <c r="D232" s="28">
        <v>-0.92</v>
      </c>
      <c r="E232" s="27">
        <v>9.76</v>
      </c>
      <c r="F232" s="27">
        <v>1.99</v>
      </c>
      <c r="G232" s="40"/>
      <c r="H232" s="40"/>
      <c r="I232" s="40"/>
      <c r="J232" s="41"/>
      <c r="K232" s="40"/>
      <c r="L232" s="40"/>
      <c r="M232" s="47"/>
      <c r="N232" s="43"/>
      <c r="O232" s="1"/>
    </row>
    <row r="233" spans="1:15" ht="14.25" x14ac:dyDescent="0.15">
      <c r="A233" s="40">
        <v>16</v>
      </c>
      <c r="B233" s="44"/>
      <c r="C233" s="27">
        <v>91.1</v>
      </c>
      <c r="D233" s="28">
        <v>-0.9</v>
      </c>
      <c r="E233" s="27">
        <v>9.59</v>
      </c>
      <c r="F233" s="27">
        <v>2.06</v>
      </c>
      <c r="G233" s="40">
        <f t="shared" si="722"/>
        <v>-0.37000000000000455</v>
      </c>
      <c r="H233" s="40">
        <f t="shared" ref="H233" si="850">D233-D234</f>
        <v>8.9999999999999969E-2</v>
      </c>
      <c r="I233" s="40">
        <f t="shared" ref="I233" si="851">E233-E234</f>
        <v>-0.12000000000000099</v>
      </c>
      <c r="J233" s="41">
        <f t="shared" ref="J233" si="852">SQRT(G233*G233+H233*H233+I233*I233)</f>
        <v>0.3992492955535471</v>
      </c>
      <c r="K233" s="39">
        <f t="shared" ref="K233" si="853">AVERAGE(F233:F234)</f>
        <v>2.0350000000000001</v>
      </c>
      <c r="L233" s="40">
        <f t="shared" si="725"/>
        <v>0.20350000000000001</v>
      </c>
      <c r="M233" s="46">
        <f t="shared" si="839"/>
        <v>5.0000000000000266E-2</v>
      </c>
      <c r="N233" s="43">
        <f t="shared" ref="N233" si="854">L233-M233</f>
        <v>0.15349999999999975</v>
      </c>
      <c r="O233" s="1"/>
    </row>
    <row r="234" spans="1:15" ht="14.25" x14ac:dyDescent="0.15">
      <c r="A234" s="40"/>
      <c r="B234" s="44"/>
      <c r="C234" s="27">
        <v>91.47</v>
      </c>
      <c r="D234" s="28">
        <v>-0.99</v>
      </c>
      <c r="E234" s="27">
        <v>9.7100000000000009</v>
      </c>
      <c r="F234" s="27">
        <v>2.0099999999999998</v>
      </c>
      <c r="G234" s="40"/>
      <c r="H234" s="40"/>
      <c r="I234" s="40"/>
      <c r="J234" s="41"/>
      <c r="K234" s="40"/>
      <c r="L234" s="40"/>
      <c r="M234" s="47"/>
      <c r="N234" s="43"/>
      <c r="O234" s="1"/>
    </row>
    <row r="235" spans="1:15" ht="30" customHeight="1" x14ac:dyDescent="0.15">
      <c r="A235" s="37" t="s">
        <v>27</v>
      </c>
      <c r="B235" s="38"/>
      <c r="C235" s="28">
        <f>AVERAGE(C227:C234)</f>
        <v>91.282500000000013</v>
      </c>
      <c r="D235" s="28">
        <f t="shared" ref="D235" si="855">AVERAGE(D227:D234)</f>
        <v>-0.93375000000000008</v>
      </c>
      <c r="E235" s="28">
        <f t="shared" ref="E235" si="856">AVERAGE(E227:E234)</f>
        <v>9.4462499999999991</v>
      </c>
      <c r="F235" s="28">
        <f t="shared" ref="F235" si="857">AVERAGE(F227:F234)</f>
        <v>2.0099999999999998</v>
      </c>
      <c r="G235" s="28">
        <f t="shared" ref="G235" si="858">AVERAGE(G227:G234)</f>
        <v>-0.10500000000000398</v>
      </c>
      <c r="H235" s="28">
        <f t="shared" ref="H235" si="859">AVERAGE(H227:H234)</f>
        <v>2.250000000000002E-2</v>
      </c>
      <c r="I235" s="28">
        <f>AVERAGE(I227:I234)</f>
        <v>4.2499999999999982E-2</v>
      </c>
      <c r="J235" s="28">
        <f t="shared" ref="J235" si="860">AVERAGE(J227:J234)</f>
        <v>0.30480174467868748</v>
      </c>
      <c r="K235" s="28">
        <f t="shared" ref="K235" si="861">AVERAGE(K227:K234)</f>
        <v>2.0099999999999998</v>
      </c>
      <c r="L235" s="28">
        <f t="shared" ref="L235" si="862">AVERAGE(L227:L234)</f>
        <v>0.20100000000000001</v>
      </c>
      <c r="M235" s="28">
        <f t="shared" ref="M235" si="863">AVERAGE(M227:M234)</f>
        <v>7.0000000000000062E-2</v>
      </c>
      <c r="N235" s="28">
        <f>AVERAGE(N227:N234)</f>
        <v>0.13099999999999995</v>
      </c>
      <c r="O235" s="1"/>
    </row>
    <row r="236" spans="1:15" ht="30" customHeight="1" x14ac:dyDescent="0.15">
      <c r="A236" s="37" t="s">
        <v>28</v>
      </c>
      <c r="B236" s="38"/>
      <c r="C236" s="28">
        <f>STDEV(C227:C234)</f>
        <v>0.24129116969219774</v>
      </c>
      <c r="D236" s="28">
        <f t="shared" ref="D236:M236" si="864">STDEV(D227:D234)</f>
        <v>4.8678977568790985E-2</v>
      </c>
      <c r="E236" s="28">
        <f t="shared" si="864"/>
        <v>0.32017573299674046</v>
      </c>
      <c r="F236" s="28">
        <f t="shared" si="864"/>
        <v>7.9102103999469264E-2</v>
      </c>
      <c r="G236" s="28">
        <f t="shared" si="864"/>
        <v>0.31764760348537252</v>
      </c>
      <c r="H236" s="28">
        <f t="shared" si="864"/>
        <v>6.075908711186058E-2</v>
      </c>
      <c r="I236" s="28">
        <f>STDEV(I227:I234)</f>
        <v>0.11557825631723921</v>
      </c>
      <c r="J236" s="28">
        <f t="shared" si="864"/>
        <v>0.10890911465271984</v>
      </c>
      <c r="K236" s="28">
        <f t="shared" si="864"/>
        <v>7.1063352017759332E-2</v>
      </c>
      <c r="L236" s="28">
        <f t="shared" si="864"/>
        <v>7.1063352017759328E-3</v>
      </c>
      <c r="M236" s="28">
        <f t="shared" si="864"/>
        <v>4.9665548085837612E-2</v>
      </c>
      <c r="N236" s="28">
        <f>STDEV(N227:N234)</f>
        <v>5.6720072872543506E-2</v>
      </c>
      <c r="O236" s="1"/>
    </row>
    <row r="237" spans="1:15" ht="30" customHeight="1" x14ac:dyDescent="0.15">
      <c r="A237" s="37" t="s">
        <v>29</v>
      </c>
      <c r="B237" s="38"/>
      <c r="C237" s="28">
        <f>C236/C235*100</f>
        <v>0.26433453256889078</v>
      </c>
      <c r="D237" s="28">
        <f t="shared" ref="D237" si="865">D236/D235*100</f>
        <v>-5.2132773835385251</v>
      </c>
      <c r="E237" s="28">
        <f t="shared" ref="E237" si="866">E236/E235*100</f>
        <v>3.3894480137275687</v>
      </c>
      <c r="F237" s="28">
        <f t="shared" ref="F237" si="867">F236/F235*100</f>
        <v>3.9354280596750884</v>
      </c>
      <c r="G237" s="28">
        <f t="shared" ref="G237" si="868">G236/G235*100</f>
        <v>-302.52152712891473</v>
      </c>
      <c r="H237" s="28">
        <f t="shared" ref="H237" si="869">H236/H235*100</f>
        <v>270.04038716382456</v>
      </c>
      <c r="I237" s="28">
        <f>I236/I235*100</f>
        <v>271.9488383935041</v>
      </c>
      <c r="J237" s="28">
        <f t="shared" ref="J237" si="870">J236/J235*100</f>
        <v>35.731132302910027</v>
      </c>
      <c r="K237" s="28">
        <f t="shared" ref="K237" si="871">K236/K235*100</f>
        <v>3.5354901501372806</v>
      </c>
      <c r="L237" s="28">
        <f t="shared" ref="L237" si="872">L236/L235*100</f>
        <v>3.5354901501372797</v>
      </c>
      <c r="M237" s="28">
        <f t="shared" ref="M237" si="873">M236/M235*100</f>
        <v>70.950782979767951</v>
      </c>
      <c r="N237" s="28">
        <f>N236/N235*100</f>
        <v>43.297765551559948</v>
      </c>
      <c r="O237" s="1"/>
    </row>
    <row r="238" spans="1:15" ht="14.25" x14ac:dyDescent="0.15">
      <c r="A238" s="40">
        <v>17</v>
      </c>
      <c r="B238" s="44" t="s">
        <v>48</v>
      </c>
      <c r="C238" s="27">
        <v>91.36</v>
      </c>
      <c r="D238" s="28">
        <v>-0.94</v>
      </c>
      <c r="E238" s="27">
        <v>9.26</v>
      </c>
      <c r="F238" s="27">
        <v>1.94</v>
      </c>
      <c r="G238" s="40">
        <f t="shared" si="722"/>
        <v>6.9999999999993179E-2</v>
      </c>
      <c r="H238" s="40">
        <f t="shared" ref="H238" si="874">D238-D239</f>
        <v>-9.9999999999998979E-3</v>
      </c>
      <c r="I238" s="40">
        <f t="shared" ref="I238" si="875">E238-E239</f>
        <v>3.9999999999999147E-2</v>
      </c>
      <c r="J238" s="41">
        <f>SQRT(G238*G238+H238*H238+I238*I238)</f>
        <v>8.1240384046353295E-2</v>
      </c>
      <c r="K238" s="39">
        <f>AVERAGE(F238:F239)</f>
        <v>2</v>
      </c>
      <c r="L238" s="40">
        <f t="shared" si="725"/>
        <v>0.2</v>
      </c>
      <c r="M238" s="46">
        <f t="shared" ref="M238:M244" si="876">ABS(F238-F239)</f>
        <v>0.12000000000000011</v>
      </c>
      <c r="N238" s="43">
        <f>L238-M238</f>
        <v>7.9999999999999905E-2</v>
      </c>
      <c r="O238" s="1"/>
    </row>
    <row r="239" spans="1:15" ht="14.25" x14ac:dyDescent="0.15">
      <c r="A239" s="40"/>
      <c r="B239" s="44"/>
      <c r="C239" s="27">
        <v>91.29</v>
      </c>
      <c r="D239" s="28">
        <v>-0.93</v>
      </c>
      <c r="E239" s="27">
        <v>9.2200000000000006</v>
      </c>
      <c r="F239" s="27">
        <v>2.06</v>
      </c>
      <c r="G239" s="40"/>
      <c r="H239" s="40"/>
      <c r="I239" s="40"/>
      <c r="J239" s="41"/>
      <c r="K239" s="40"/>
      <c r="L239" s="40"/>
      <c r="M239" s="47"/>
      <c r="N239" s="43"/>
      <c r="O239" s="1"/>
    </row>
    <row r="240" spans="1:15" ht="14.25" x14ac:dyDescent="0.15">
      <c r="A240" s="40">
        <v>18</v>
      </c>
      <c r="B240" s="44"/>
      <c r="C240" s="27">
        <v>90.94</v>
      </c>
      <c r="D240" s="28">
        <v>-0.85</v>
      </c>
      <c r="E240" s="27">
        <v>8.84</v>
      </c>
      <c r="F240" s="27">
        <v>2.06</v>
      </c>
      <c r="G240" s="40">
        <f t="shared" si="722"/>
        <v>-4.0000000000006253E-2</v>
      </c>
      <c r="H240" s="40">
        <f t="shared" ref="H240" si="877">D240-D241</f>
        <v>0</v>
      </c>
      <c r="I240" s="40">
        <f t="shared" ref="I240" si="878">E240-E241</f>
        <v>2.9999999999999361E-2</v>
      </c>
      <c r="J240" s="41">
        <f t="shared" ref="J240" si="879">SQRT(G240*G240+H240*H240+I240*I240)</f>
        <v>5.0000000000004617E-2</v>
      </c>
      <c r="K240" s="39">
        <f t="shared" ref="K240" si="880">AVERAGE(F240:F241)</f>
        <v>2.0449999999999999</v>
      </c>
      <c r="L240" s="40">
        <f t="shared" si="725"/>
        <v>0.20450000000000002</v>
      </c>
      <c r="M240" s="46">
        <f t="shared" si="876"/>
        <v>3.0000000000000249E-2</v>
      </c>
      <c r="N240" s="43">
        <f t="shared" ref="N240" si="881">L240-M240</f>
        <v>0.17449999999999977</v>
      </c>
      <c r="O240" s="1"/>
    </row>
    <row r="241" spans="1:15" ht="14.25" x14ac:dyDescent="0.15">
      <c r="A241" s="40"/>
      <c r="B241" s="44"/>
      <c r="C241" s="27">
        <v>90.98</v>
      </c>
      <c r="D241" s="28">
        <v>-0.85</v>
      </c>
      <c r="E241" s="27">
        <v>8.81</v>
      </c>
      <c r="F241" s="27">
        <v>2.0299999999999998</v>
      </c>
      <c r="G241" s="40"/>
      <c r="H241" s="40"/>
      <c r="I241" s="40"/>
      <c r="J241" s="41"/>
      <c r="K241" s="40"/>
      <c r="L241" s="40"/>
      <c r="M241" s="47"/>
      <c r="N241" s="43"/>
      <c r="O241" s="1"/>
    </row>
    <row r="242" spans="1:15" ht="14.25" customHeight="1" x14ac:dyDescent="0.15">
      <c r="A242" s="40">
        <v>19</v>
      </c>
      <c r="B242" s="44"/>
      <c r="C242" s="27">
        <v>91.11</v>
      </c>
      <c r="D242" s="28">
        <v>-0.93</v>
      </c>
      <c r="E242" s="27">
        <v>9.4700000000000006</v>
      </c>
      <c r="F242" s="27">
        <v>2.0499999999999998</v>
      </c>
      <c r="G242" s="40">
        <f t="shared" si="722"/>
        <v>-6.0000000000002274E-2</v>
      </c>
      <c r="H242" s="40">
        <f t="shared" ref="H242" si="882">D242-D243</f>
        <v>1.9999999999999907E-2</v>
      </c>
      <c r="I242" s="40">
        <f t="shared" ref="I242" si="883">E242-E243</f>
        <v>-0.36999999999999922</v>
      </c>
      <c r="J242" s="41">
        <f t="shared" ref="J242" si="884">SQRT(G242*G242+H242*H242+I242*I242)</f>
        <v>0.37536648758246877</v>
      </c>
      <c r="K242" s="39">
        <f t="shared" ref="K242" si="885">AVERAGE(F242:F243)</f>
        <v>2.09</v>
      </c>
      <c r="L242" s="40">
        <f t="shared" si="725"/>
        <v>0.20899999999999999</v>
      </c>
      <c r="M242" s="46">
        <f t="shared" si="876"/>
        <v>8.0000000000000071E-2</v>
      </c>
      <c r="N242" s="43">
        <f t="shared" ref="N242" si="886">L242-M242</f>
        <v>0.12899999999999992</v>
      </c>
      <c r="O242" s="1"/>
    </row>
    <row r="243" spans="1:15" ht="14.25" x14ac:dyDescent="0.15">
      <c r="A243" s="40"/>
      <c r="B243" s="44"/>
      <c r="C243" s="27">
        <v>91.17</v>
      </c>
      <c r="D243" s="28">
        <v>-0.95</v>
      </c>
      <c r="E243" s="27">
        <v>9.84</v>
      </c>
      <c r="F243" s="27">
        <v>2.13</v>
      </c>
      <c r="G243" s="40"/>
      <c r="H243" s="40"/>
      <c r="I243" s="40"/>
      <c r="J243" s="41"/>
      <c r="K243" s="40"/>
      <c r="L243" s="40"/>
      <c r="M243" s="47"/>
      <c r="N243" s="43"/>
      <c r="O243" s="1"/>
    </row>
    <row r="244" spans="1:15" ht="14.25" x14ac:dyDescent="0.15">
      <c r="A244" s="40">
        <v>20</v>
      </c>
      <c r="B244" s="44"/>
      <c r="C244" s="27">
        <v>91.29</v>
      </c>
      <c r="D244" s="28">
        <v>-0.97</v>
      </c>
      <c r="E244" s="27">
        <v>10.01</v>
      </c>
      <c r="F244" s="27">
        <v>2.31</v>
      </c>
      <c r="G244" s="40">
        <f t="shared" si="722"/>
        <v>0.29000000000000625</v>
      </c>
      <c r="H244" s="40">
        <f t="shared" ref="H244" si="887">D244-D245</f>
        <v>-6.9999999999999951E-2</v>
      </c>
      <c r="I244" s="40">
        <f t="shared" ref="I244" si="888">E244-E245</f>
        <v>0.33999999999999986</v>
      </c>
      <c r="J244" s="41">
        <f>SQRT(G244*G244+H244*H244+I244*I244)</f>
        <v>0.45232731511594954</v>
      </c>
      <c r="K244" s="39">
        <f t="shared" ref="K244" si="889">AVERAGE(F244:F245)</f>
        <v>2.2599999999999998</v>
      </c>
      <c r="L244" s="40">
        <f t="shared" si="725"/>
        <v>0.22599999999999998</v>
      </c>
      <c r="M244" s="46">
        <f t="shared" si="876"/>
        <v>0.10000000000000009</v>
      </c>
      <c r="N244" s="43">
        <f t="shared" ref="N244" si="890">L244-M244</f>
        <v>0.12599999999999989</v>
      </c>
      <c r="O244" s="1"/>
    </row>
    <row r="245" spans="1:15" ht="14.25" x14ac:dyDescent="0.15">
      <c r="A245" s="40"/>
      <c r="B245" s="44"/>
      <c r="C245" s="27">
        <v>91</v>
      </c>
      <c r="D245" s="28">
        <v>-0.9</v>
      </c>
      <c r="E245" s="27">
        <v>9.67</v>
      </c>
      <c r="F245" s="27">
        <v>2.21</v>
      </c>
      <c r="G245" s="40"/>
      <c r="H245" s="40"/>
      <c r="I245" s="40"/>
      <c r="J245" s="41"/>
      <c r="K245" s="40"/>
      <c r="L245" s="40"/>
      <c r="M245" s="47"/>
      <c r="N245" s="43"/>
      <c r="O245" s="1"/>
    </row>
    <row r="246" spans="1:15" ht="30" customHeight="1" x14ac:dyDescent="0.15">
      <c r="A246" s="35" t="s">
        <v>27</v>
      </c>
      <c r="B246" s="36"/>
      <c r="C246" s="28">
        <f>AVERAGE(C238:C245)</f>
        <v>91.142499999999998</v>
      </c>
      <c r="D246" s="28">
        <f>AVERAGE(D238:D245)</f>
        <v>-0.91500000000000004</v>
      </c>
      <c r="E246" s="28">
        <f t="shared" ref="E246" si="891">AVERAGE(E238:E245)</f>
        <v>9.39</v>
      </c>
      <c r="F246" s="28">
        <f t="shared" ref="F246" si="892">AVERAGE(F238:F245)</f>
        <v>2.0987499999999999</v>
      </c>
      <c r="G246" s="28">
        <f t="shared" ref="G246" si="893">AVERAGE(G238:G245)</f>
        <v>6.4999999999997726E-2</v>
      </c>
      <c r="H246" s="28">
        <f t="shared" ref="H246" si="894">AVERAGE(H238:H245)</f>
        <v>-1.4999999999999986E-2</v>
      </c>
      <c r="I246" s="28">
        <f t="shared" ref="I246" si="895">AVERAGE(I238:I245)</f>
        <v>9.9999999999997868E-3</v>
      </c>
      <c r="J246" s="28">
        <f t="shared" ref="J246" si="896">AVERAGE(J238:J245)</f>
        <v>0.23973354668619407</v>
      </c>
      <c r="K246" s="28">
        <f t="shared" ref="K246" si="897">AVERAGE(K238:K245)</f>
        <v>2.0987499999999999</v>
      </c>
      <c r="L246" s="28">
        <f>AVERAGE(L238:L245)</f>
        <v>0.20987500000000001</v>
      </c>
      <c r="M246" s="28">
        <f t="shared" ref="M246" si="898">AVERAGE(M238:M245)</f>
        <v>8.2500000000000129E-2</v>
      </c>
      <c r="N246" s="28">
        <f t="shared" ref="N246" si="899">AVERAGE(N238:N245)</f>
        <v>0.12737499999999988</v>
      </c>
      <c r="O246" s="1"/>
    </row>
    <row r="247" spans="1:15" ht="30" customHeight="1" x14ac:dyDescent="0.15">
      <c r="A247" s="31" t="s">
        <v>28</v>
      </c>
      <c r="B247" s="32"/>
      <c r="C247" s="28">
        <f>STDEV(C238:C245)</f>
        <v>0.16051257182627837</v>
      </c>
      <c r="D247" s="28">
        <f>STDEV(D238:D245)</f>
        <v>4.4721359549995794E-2</v>
      </c>
      <c r="E247" s="28">
        <f t="shared" ref="E247:N247" si="900">STDEV(E238:E245)</f>
        <v>0.44019476208995084</v>
      </c>
      <c r="F247" s="28">
        <f t="shared" si="900"/>
        <v>0.11544169833420558</v>
      </c>
      <c r="G247" s="28">
        <f t="shared" si="900"/>
        <v>0.16051998837113157</v>
      </c>
      <c r="H247" s="28">
        <f t="shared" si="900"/>
        <v>3.872983346207412E-2</v>
      </c>
      <c r="I247" s="28">
        <f t="shared" si="900"/>
        <v>0.29131884021921139</v>
      </c>
      <c r="J247" s="28">
        <f t="shared" si="900"/>
        <v>0.20388829161498892</v>
      </c>
      <c r="K247" s="28">
        <f t="shared" si="900"/>
        <v>0.11360567767501754</v>
      </c>
      <c r="L247" s="28">
        <f>STDEV(L238:L245)</f>
        <v>1.1360567767501748E-2</v>
      </c>
      <c r="M247" s="28">
        <f t="shared" si="900"/>
        <v>3.8622100754188149E-2</v>
      </c>
      <c r="N247" s="28">
        <f t="shared" si="900"/>
        <v>3.8599168816612149E-2</v>
      </c>
      <c r="O247" s="1"/>
    </row>
    <row r="248" spans="1:15" ht="30" customHeight="1" x14ac:dyDescent="0.15">
      <c r="A248" s="33" t="s">
        <v>29</v>
      </c>
      <c r="B248" s="34"/>
      <c r="C248" s="28">
        <f>C247/C246*100</f>
        <v>0.17611166231591013</v>
      </c>
      <c r="D248" s="28">
        <f>D247/D246*100</f>
        <v>-4.8875802786880644</v>
      </c>
      <c r="E248" s="28">
        <f t="shared" ref="E248" si="901">E247/E246*100</f>
        <v>4.6879101394030975</v>
      </c>
      <c r="F248" s="28">
        <f t="shared" ref="F248" si="902">F247/F246*100</f>
        <v>5.5004978360550609</v>
      </c>
      <c r="G248" s="28">
        <f t="shared" ref="G248" si="903">G247/G246*100</f>
        <v>246.95382826328799</v>
      </c>
      <c r="H248" s="28">
        <f t="shared" ref="H248" si="904">H247/H246*100</f>
        <v>-258.19888974716105</v>
      </c>
      <c r="I248" s="28">
        <f t="shared" ref="I248" si="905">I247/I246*100</f>
        <v>2913.188402192176</v>
      </c>
      <c r="J248" s="28">
        <f t="shared" ref="J248" si="906">J247/J246*100</f>
        <v>85.047876875518895</v>
      </c>
      <c r="K248" s="28">
        <f t="shared" ref="K248" si="907">K247/K246*100</f>
        <v>5.4130162084582514</v>
      </c>
      <c r="L248" s="28">
        <f>L247/L246*100</f>
        <v>5.4130162084582478</v>
      </c>
      <c r="M248" s="28">
        <f t="shared" ref="M248" si="908">M247/M246*100</f>
        <v>46.814667580834048</v>
      </c>
      <c r="N248" s="28">
        <f t="shared" ref="N248" si="909">N247/N246*100</f>
        <v>30.303567275063543</v>
      </c>
      <c r="O248" s="1"/>
    </row>
    <row r="249" spans="1:15" ht="14.25" customHeight="1" x14ac:dyDescent="0.15">
      <c r="A249" s="40">
        <v>21</v>
      </c>
      <c r="B249" s="44" t="s">
        <v>49</v>
      </c>
      <c r="C249" s="27">
        <v>91.1</v>
      </c>
      <c r="D249" s="28">
        <v>-0.9</v>
      </c>
      <c r="E249" s="27">
        <v>9.2200000000000006</v>
      </c>
      <c r="F249" s="27">
        <v>3.38</v>
      </c>
      <c r="G249" s="40">
        <f t="shared" si="722"/>
        <v>9.9999999999909051E-3</v>
      </c>
      <c r="H249" s="40">
        <f t="shared" ref="H249" si="910">D249-D250</f>
        <v>0</v>
      </c>
      <c r="I249" s="40">
        <f t="shared" ref="I249" si="911">E249-E250</f>
        <v>-0.10999999999999943</v>
      </c>
      <c r="J249" s="41">
        <f>SQRT(G249*G249+H249*H249+I249*I249)</f>
        <v>0.11045361017187122</v>
      </c>
      <c r="K249" s="39">
        <f>AVERAGE(F249:F250)</f>
        <v>3.3049999999999997</v>
      </c>
      <c r="L249" s="40">
        <f t="shared" si="725"/>
        <v>0.33050000000000002</v>
      </c>
      <c r="M249" s="46">
        <f t="shared" ref="M249:M255" si="912">ABS(F249-F250)</f>
        <v>0.14999999999999991</v>
      </c>
      <c r="N249" s="43">
        <f>L249-M249</f>
        <v>0.1805000000000001</v>
      </c>
      <c r="O249" s="1"/>
    </row>
    <row r="250" spans="1:15" ht="14.25" x14ac:dyDescent="0.15">
      <c r="A250" s="40"/>
      <c r="B250" s="44"/>
      <c r="C250" s="27">
        <v>91.09</v>
      </c>
      <c r="D250" s="28">
        <v>-0.9</v>
      </c>
      <c r="E250" s="27">
        <v>9.33</v>
      </c>
      <c r="F250" s="27">
        <v>3.23</v>
      </c>
      <c r="G250" s="40"/>
      <c r="H250" s="40"/>
      <c r="I250" s="40"/>
      <c r="J250" s="41"/>
      <c r="K250" s="40"/>
      <c r="L250" s="40"/>
      <c r="M250" s="47"/>
      <c r="N250" s="43"/>
      <c r="O250" s="1"/>
    </row>
    <row r="251" spans="1:15" ht="14.25" x14ac:dyDescent="0.15">
      <c r="A251" s="40">
        <v>22</v>
      </c>
      <c r="B251" s="44"/>
      <c r="C251" s="27">
        <v>90.53</v>
      </c>
      <c r="D251" s="28">
        <v>-0.78</v>
      </c>
      <c r="E251" s="27">
        <v>8.77</v>
      </c>
      <c r="F251" s="27">
        <v>2.8</v>
      </c>
      <c r="G251" s="40">
        <f t="shared" si="722"/>
        <v>-0.40999999999999659</v>
      </c>
      <c r="H251" s="40">
        <f t="shared" ref="H251" si="913">D251-D252</f>
        <v>8.9999999999999969E-2</v>
      </c>
      <c r="I251" s="40">
        <f t="shared" ref="I251" si="914">E251-E252</f>
        <v>-0.25</v>
      </c>
      <c r="J251" s="41">
        <f t="shared" ref="J251" si="915">SQRT(G251*G251+H251*H251+I251*I251)</f>
        <v>0.48856934001224145</v>
      </c>
      <c r="K251" s="39">
        <f t="shared" ref="K251" si="916">AVERAGE(F251:F252)</f>
        <v>2.9249999999999998</v>
      </c>
      <c r="L251" s="40">
        <f t="shared" si="725"/>
        <v>0.29249999999999998</v>
      </c>
      <c r="M251" s="46">
        <f t="shared" si="912"/>
        <v>0.25</v>
      </c>
      <c r="N251" s="43">
        <f t="shared" ref="N251" si="917">L251-M251</f>
        <v>4.2499999999999982E-2</v>
      </c>
      <c r="O251" s="1"/>
    </row>
    <row r="252" spans="1:15" ht="14.25" x14ac:dyDescent="0.15">
      <c r="A252" s="40"/>
      <c r="B252" s="44"/>
      <c r="C252" s="27">
        <v>90.94</v>
      </c>
      <c r="D252" s="28">
        <v>-0.87</v>
      </c>
      <c r="E252" s="27">
        <v>9.02</v>
      </c>
      <c r="F252" s="27">
        <v>3.05</v>
      </c>
      <c r="G252" s="40"/>
      <c r="H252" s="40"/>
      <c r="I252" s="40"/>
      <c r="J252" s="41"/>
      <c r="K252" s="40"/>
      <c r="L252" s="40"/>
      <c r="M252" s="47"/>
      <c r="N252" s="43"/>
      <c r="O252" s="1"/>
    </row>
    <row r="253" spans="1:15" ht="14.25" x14ac:dyDescent="0.15">
      <c r="A253" s="40">
        <v>23</v>
      </c>
      <c r="B253" s="44"/>
      <c r="C253" s="27">
        <v>90.4</v>
      </c>
      <c r="D253" s="28">
        <v>-0.82</v>
      </c>
      <c r="E253" s="27">
        <v>9.8699999999999992</v>
      </c>
      <c r="F253" s="27">
        <v>3.13</v>
      </c>
      <c r="G253" s="40">
        <f t="shared" si="722"/>
        <v>-0.51999999999999602</v>
      </c>
      <c r="H253" s="40">
        <f t="shared" ref="H253" si="918">D253-D254</f>
        <v>8.0000000000000071E-2</v>
      </c>
      <c r="I253" s="40">
        <f t="shared" ref="I253" si="919">E253-E254</f>
        <v>4.9999999999998934E-2</v>
      </c>
      <c r="J253" s="41">
        <f t="shared" ref="J253" si="920">SQRT(G253*G253+H253*H253+I253*I253)</f>
        <v>0.52848841046894846</v>
      </c>
      <c r="K253" s="39">
        <f t="shared" ref="K253" si="921">AVERAGE(F253:F254)</f>
        <v>2.9950000000000001</v>
      </c>
      <c r="L253" s="40">
        <f t="shared" si="725"/>
        <v>0.29950000000000004</v>
      </c>
      <c r="M253" s="46">
        <f t="shared" si="912"/>
        <v>0.27</v>
      </c>
      <c r="N253" s="43">
        <f t="shared" ref="N253" si="922">L253-M253</f>
        <v>2.9500000000000026E-2</v>
      </c>
      <c r="O253" s="1"/>
    </row>
    <row r="254" spans="1:15" ht="14.25" x14ac:dyDescent="0.15">
      <c r="A254" s="40"/>
      <c r="B254" s="44"/>
      <c r="C254" s="27">
        <v>90.92</v>
      </c>
      <c r="D254" s="28">
        <v>-0.9</v>
      </c>
      <c r="E254" s="27">
        <v>9.82</v>
      </c>
      <c r="F254" s="27">
        <v>2.86</v>
      </c>
      <c r="G254" s="40"/>
      <c r="H254" s="40"/>
      <c r="I254" s="40"/>
      <c r="J254" s="41"/>
      <c r="K254" s="40"/>
      <c r="L254" s="40"/>
      <c r="M254" s="47"/>
      <c r="N254" s="43"/>
      <c r="O254" s="1"/>
    </row>
    <row r="255" spans="1:15" ht="14.25" x14ac:dyDescent="0.15">
      <c r="A255" s="40">
        <v>24</v>
      </c>
      <c r="B255" s="44"/>
      <c r="C255" s="27">
        <v>91.09</v>
      </c>
      <c r="D255" s="28">
        <v>-0.93</v>
      </c>
      <c r="E255" s="27">
        <v>9.77</v>
      </c>
      <c r="F255" s="27">
        <v>3.04</v>
      </c>
      <c r="G255" s="40">
        <f t="shared" si="722"/>
        <v>0.35000000000000853</v>
      </c>
      <c r="H255" s="40">
        <f t="shared" ref="H255" si="923">D255-D256</f>
        <v>-8.0000000000000071E-2</v>
      </c>
      <c r="I255" s="40">
        <f t="shared" ref="I255" si="924">E255-E256</f>
        <v>2.9999999999999361E-2</v>
      </c>
      <c r="J255" s="41">
        <f>SQRT(G255*G255+H255*H255+I255*I255)</f>
        <v>0.36027767069304467</v>
      </c>
      <c r="K255" s="39">
        <f t="shared" ref="K255" si="925">AVERAGE(F255:F256)</f>
        <v>3.05</v>
      </c>
      <c r="L255" s="40">
        <f t="shared" si="725"/>
        <v>0.30499999999999999</v>
      </c>
      <c r="M255" s="46">
        <f t="shared" si="912"/>
        <v>2.0000000000000018E-2</v>
      </c>
      <c r="N255" s="43">
        <f t="shared" ref="N255" si="926">L255-M255</f>
        <v>0.28499999999999998</v>
      </c>
      <c r="O255" s="1"/>
    </row>
    <row r="256" spans="1:15" ht="14.25" x14ac:dyDescent="0.15">
      <c r="A256" s="40"/>
      <c r="B256" s="44"/>
      <c r="C256" s="27">
        <v>90.74</v>
      </c>
      <c r="D256" s="28">
        <v>-0.85</v>
      </c>
      <c r="E256" s="27">
        <v>9.74</v>
      </c>
      <c r="F256" s="27">
        <v>3.06</v>
      </c>
      <c r="G256" s="40"/>
      <c r="H256" s="40"/>
      <c r="I256" s="40"/>
      <c r="J256" s="41"/>
      <c r="K256" s="40"/>
      <c r="L256" s="40"/>
      <c r="M256" s="47"/>
      <c r="N256" s="43"/>
      <c r="O256" s="1"/>
    </row>
    <row r="257" spans="1:15" ht="30" customHeight="1" x14ac:dyDescent="0.15">
      <c r="A257" s="35" t="s">
        <v>27</v>
      </c>
      <c r="B257" s="36"/>
      <c r="C257" s="28">
        <f>AVERAGE(C249:C256)</f>
        <v>90.851250000000007</v>
      </c>
      <c r="D257" s="28">
        <f>AVERAGE(D249:D256)</f>
        <v>-0.86875000000000002</v>
      </c>
      <c r="E257" s="28">
        <f t="shared" ref="E257" si="927">AVERAGE(E249:E256)</f>
        <v>9.442499999999999</v>
      </c>
      <c r="F257" s="28">
        <f t="shared" ref="F257" si="928">AVERAGE(F249:F256)</f>
        <v>3.0687499999999996</v>
      </c>
      <c r="G257" s="28">
        <f t="shared" ref="G257" si="929">AVERAGE(G249:G256)</f>
        <v>-0.14249999999999829</v>
      </c>
      <c r="H257" s="28">
        <f t="shared" ref="H257" si="930">AVERAGE(H249:H256)</f>
        <v>2.2499999999999992E-2</v>
      </c>
      <c r="I257" s="28">
        <f t="shared" ref="I257" si="931">AVERAGE(I249:I256)</f>
        <v>-7.0000000000000284E-2</v>
      </c>
      <c r="J257" s="28">
        <f t="shared" ref="J257" si="932">AVERAGE(J249:J256)</f>
        <v>0.37194725783652643</v>
      </c>
      <c r="K257" s="28">
        <f t="shared" ref="K257" si="933">AVERAGE(K249:K256)</f>
        <v>3.0687499999999996</v>
      </c>
      <c r="L257" s="28">
        <f t="shared" ref="L257" si="934">AVERAGE(L249:L256)</f>
        <v>0.30687500000000001</v>
      </c>
      <c r="M257" s="28">
        <f>AVERAGE(M249:M256)</f>
        <v>0.17249999999999999</v>
      </c>
      <c r="N257" s="28">
        <f t="shared" ref="N257" si="935">AVERAGE(N249:N256)</f>
        <v>0.13437500000000002</v>
      </c>
      <c r="O257" s="1"/>
    </row>
    <row r="258" spans="1:15" ht="30" customHeight="1" x14ac:dyDescent="0.15">
      <c r="A258" s="31" t="s">
        <v>28</v>
      </c>
      <c r="B258" s="32"/>
      <c r="C258" s="28">
        <f>STDEV(C249:C256)</f>
        <v>0.26930797558610303</v>
      </c>
      <c r="D258" s="28">
        <f>STDEV(D249:D256)</f>
        <v>4.9695501377316431E-2</v>
      </c>
      <c r="E258" s="28">
        <f t="shared" ref="E258:N258" si="936">STDEV(E249:E256)</f>
        <v>0.41643898541254343</v>
      </c>
      <c r="F258" s="28">
        <f t="shared" si="936"/>
        <v>0.18658108157045292</v>
      </c>
      <c r="G258" s="28">
        <f t="shared" si="936"/>
        <v>0.39994791327538337</v>
      </c>
      <c r="H258" s="28">
        <f t="shared" si="936"/>
        <v>7.9320026895271997E-2</v>
      </c>
      <c r="I258" s="28">
        <f t="shared" si="936"/>
        <v>0.13952299690970849</v>
      </c>
      <c r="J258" s="28">
        <f t="shared" si="936"/>
        <v>0.18852139538308171</v>
      </c>
      <c r="K258" s="28">
        <f t="shared" si="936"/>
        <v>0.16559866142776225</v>
      </c>
      <c r="L258" s="28">
        <f t="shared" si="936"/>
        <v>1.6559866142776242E-2</v>
      </c>
      <c r="M258" s="28">
        <f>STDEV(M249:M256)</f>
        <v>0.11441882129556602</v>
      </c>
      <c r="N258" s="28">
        <f t="shared" si="936"/>
        <v>0.12145669667279226</v>
      </c>
      <c r="O258" s="1"/>
    </row>
    <row r="259" spans="1:15" ht="30" customHeight="1" x14ac:dyDescent="0.15">
      <c r="A259" s="33" t="s">
        <v>29</v>
      </c>
      <c r="B259" s="34"/>
      <c r="C259" s="28">
        <f>C258/C257*100</f>
        <v>0.2964273750620966</v>
      </c>
      <c r="D259" s="28">
        <f>D258/D257*100</f>
        <v>-5.7203454822810276</v>
      </c>
      <c r="E259" s="28">
        <f t="shared" ref="E259" si="937">E258/E257*100</f>
        <v>4.4102619583006986</v>
      </c>
      <c r="F259" s="28">
        <f t="shared" ref="F259" si="938">F258/F257*100</f>
        <v>6.0800352446583439</v>
      </c>
      <c r="G259" s="28">
        <f t="shared" ref="G259" si="939">G258/G257*100</f>
        <v>-280.66520229851801</v>
      </c>
      <c r="H259" s="28">
        <f t="shared" ref="H259" si="940">H258/H257*100</f>
        <v>352.53345286787567</v>
      </c>
      <c r="I259" s="28">
        <f t="shared" ref="I259" si="941">I258/I257*100</f>
        <v>-199.31856701386846</v>
      </c>
      <c r="J259" s="28">
        <f t="shared" ref="J259" si="942">J258/J257*100</f>
        <v>50.684980574836835</v>
      </c>
      <c r="K259" s="28">
        <f t="shared" ref="K259" si="943">K258/K257*100</f>
        <v>5.3962903927580372</v>
      </c>
      <c r="L259" s="28">
        <f t="shared" ref="L259" si="944">L258/L257*100</f>
        <v>5.3962903927580426</v>
      </c>
      <c r="M259" s="28">
        <f>M258/M257*100</f>
        <v>66.329751475690443</v>
      </c>
      <c r="N259" s="28">
        <f t="shared" ref="N259" si="945">N258/N257*100</f>
        <v>90.386378919287253</v>
      </c>
      <c r="O259" s="1"/>
    </row>
    <row r="260" spans="1:15" ht="14.25" x14ac:dyDescent="0.15">
      <c r="A260" s="40">
        <v>25</v>
      </c>
      <c r="B260" s="44" t="s">
        <v>50</v>
      </c>
      <c r="C260" s="27">
        <v>91.28</v>
      </c>
      <c r="D260" s="28">
        <v>-0.92</v>
      </c>
      <c r="E260" s="27">
        <v>9.0399999999999991</v>
      </c>
      <c r="F260" s="27">
        <v>2.77</v>
      </c>
      <c r="G260" s="40">
        <f t="shared" si="722"/>
        <v>-1.0000000000005116E-2</v>
      </c>
      <c r="H260" s="40">
        <f t="shared" ref="H260" si="946">D260-D261</f>
        <v>-2.0000000000000018E-2</v>
      </c>
      <c r="I260" s="40">
        <f t="shared" ref="I260" si="947">E260-E261</f>
        <v>0.11999999999999922</v>
      </c>
      <c r="J260" s="41">
        <f>SQRT(G260*G260+H260*H260+I260*I260)</f>
        <v>0.12206555615733668</v>
      </c>
      <c r="K260" s="39">
        <f>AVERAGE(F260:F261)</f>
        <v>2.7949999999999999</v>
      </c>
      <c r="L260" s="40">
        <f t="shared" ref="L260:L266" si="948">K260*0.1</f>
        <v>0.27950000000000003</v>
      </c>
      <c r="M260" s="46">
        <f t="shared" ref="M260:M266" si="949">ABS(F260-F261)</f>
        <v>4.9999999999999822E-2</v>
      </c>
      <c r="N260" s="43">
        <f>L260-M260</f>
        <v>0.2295000000000002</v>
      </c>
      <c r="O260" s="1"/>
    </row>
    <row r="261" spans="1:15" ht="14.25" x14ac:dyDescent="0.15">
      <c r="A261" s="40"/>
      <c r="B261" s="44"/>
      <c r="C261" s="27">
        <v>91.29</v>
      </c>
      <c r="D261" s="28">
        <v>-0.9</v>
      </c>
      <c r="E261" s="27">
        <v>8.92</v>
      </c>
      <c r="F261" s="27">
        <v>2.82</v>
      </c>
      <c r="G261" s="40"/>
      <c r="H261" s="40"/>
      <c r="I261" s="40"/>
      <c r="J261" s="41"/>
      <c r="K261" s="40"/>
      <c r="L261" s="40"/>
      <c r="M261" s="47"/>
      <c r="N261" s="43"/>
      <c r="O261" s="1"/>
    </row>
    <row r="262" spans="1:15" ht="14.25" x14ac:dyDescent="0.15">
      <c r="A262" s="40">
        <v>26</v>
      </c>
      <c r="B262" s="44"/>
      <c r="C262" s="27">
        <v>90.74</v>
      </c>
      <c r="D262" s="28">
        <v>-0.81</v>
      </c>
      <c r="E262" s="27">
        <v>8.77</v>
      </c>
      <c r="F262" s="27">
        <v>2.82</v>
      </c>
      <c r="G262" s="40">
        <f t="shared" si="722"/>
        <v>-0.12000000000000455</v>
      </c>
      <c r="H262" s="40">
        <f t="shared" ref="H262" si="950">D262-D263</f>
        <v>1.9999999999999907E-2</v>
      </c>
      <c r="I262" s="40">
        <f t="shared" ref="I262" si="951">E262-E263</f>
        <v>9.9999999999999645E-2</v>
      </c>
      <c r="J262" s="41">
        <f t="shared" ref="J262" si="952">SQRT(G262*G262+H262*H262+I262*I262)</f>
        <v>0.15748015748023944</v>
      </c>
      <c r="K262" s="39">
        <f t="shared" ref="K262" si="953">AVERAGE(F262:F263)</f>
        <v>2.73</v>
      </c>
      <c r="L262" s="40">
        <f t="shared" si="948"/>
        <v>0.27300000000000002</v>
      </c>
      <c r="M262" s="46">
        <f t="shared" si="949"/>
        <v>0.17999999999999972</v>
      </c>
      <c r="N262" s="43">
        <f t="shared" ref="N262" si="954">L262-M262</f>
        <v>9.3000000000000305E-2</v>
      </c>
      <c r="O262" s="1"/>
    </row>
    <row r="263" spans="1:15" ht="14.25" x14ac:dyDescent="0.15">
      <c r="A263" s="40"/>
      <c r="B263" s="44"/>
      <c r="C263" s="27">
        <v>90.86</v>
      </c>
      <c r="D263" s="28">
        <v>-0.83</v>
      </c>
      <c r="E263" s="27">
        <v>8.67</v>
      </c>
      <c r="F263" s="27">
        <v>2.64</v>
      </c>
      <c r="G263" s="40"/>
      <c r="H263" s="40"/>
      <c r="I263" s="40"/>
      <c r="J263" s="41"/>
      <c r="K263" s="40"/>
      <c r="L263" s="40"/>
      <c r="M263" s="47"/>
      <c r="N263" s="43"/>
      <c r="O263" s="1"/>
    </row>
    <row r="264" spans="1:15" ht="14.25" x14ac:dyDescent="0.15">
      <c r="A264" s="40">
        <v>27</v>
      </c>
      <c r="B264" s="44"/>
      <c r="C264" s="27">
        <v>90.75</v>
      </c>
      <c r="D264" s="28">
        <v>-0.85</v>
      </c>
      <c r="E264" s="27">
        <v>9.2100000000000009</v>
      </c>
      <c r="F264" s="27">
        <v>2.96</v>
      </c>
      <c r="G264" s="40">
        <f t="shared" si="722"/>
        <v>-0.42000000000000171</v>
      </c>
      <c r="H264" s="40">
        <f t="shared" ref="H264" si="955">D264-D265</f>
        <v>9.9999999999999978E-2</v>
      </c>
      <c r="I264" s="40">
        <f t="shared" ref="I264" si="956">E264-E265</f>
        <v>-0.62999999999999901</v>
      </c>
      <c r="J264" s="41">
        <f t="shared" ref="J264" si="957">SQRT(G264*G264+H264*H264+I264*I264)</f>
        <v>0.76374079372520109</v>
      </c>
      <c r="K264" s="39">
        <f t="shared" ref="K264" si="958">AVERAGE(F264:F265)</f>
        <v>2.9050000000000002</v>
      </c>
      <c r="L264" s="40">
        <f t="shared" si="948"/>
        <v>0.29050000000000004</v>
      </c>
      <c r="M264" s="46">
        <f t="shared" si="949"/>
        <v>0.10999999999999988</v>
      </c>
      <c r="N264" s="43">
        <f t="shared" ref="N264" si="959">L264-M264</f>
        <v>0.18050000000000016</v>
      </c>
      <c r="O264" s="1"/>
    </row>
    <row r="265" spans="1:15" ht="14.25" x14ac:dyDescent="0.15">
      <c r="A265" s="40"/>
      <c r="B265" s="44"/>
      <c r="C265" s="27">
        <v>91.17</v>
      </c>
      <c r="D265" s="28">
        <v>-0.95</v>
      </c>
      <c r="E265" s="27">
        <v>9.84</v>
      </c>
      <c r="F265" s="27">
        <v>2.85</v>
      </c>
      <c r="G265" s="40"/>
      <c r="H265" s="40"/>
      <c r="I265" s="40"/>
      <c r="J265" s="41"/>
      <c r="K265" s="40"/>
      <c r="L265" s="40"/>
      <c r="M265" s="47"/>
      <c r="N265" s="43"/>
      <c r="O265" s="1"/>
    </row>
    <row r="266" spans="1:15" ht="14.25" customHeight="1" x14ac:dyDescent="0.15">
      <c r="A266" s="40">
        <v>28</v>
      </c>
      <c r="B266" s="44"/>
      <c r="C266" s="27">
        <v>91.29</v>
      </c>
      <c r="D266" s="28">
        <v>-0.95</v>
      </c>
      <c r="E266" s="27">
        <v>9.7200000000000006</v>
      </c>
      <c r="F266" s="27">
        <v>3.02</v>
      </c>
      <c r="G266" s="40">
        <f t="shared" si="722"/>
        <v>0.45000000000000284</v>
      </c>
      <c r="H266" s="40">
        <f t="shared" ref="H266" si="960">D266-D267</f>
        <v>-7.999999999999996E-2</v>
      </c>
      <c r="I266" s="40">
        <f t="shared" ref="I266" si="961">E266-E267</f>
        <v>5.0000000000000711E-2</v>
      </c>
      <c r="J266" s="41">
        <f>SQRT(G266*G266+H266*H266+I266*I266)</f>
        <v>0.45978255730290879</v>
      </c>
      <c r="K266" s="39">
        <f t="shared" ref="K266" si="962">AVERAGE(F266:F267)</f>
        <v>3.0049999999999999</v>
      </c>
      <c r="L266" s="40">
        <f t="shared" si="948"/>
        <v>0.30049999999999999</v>
      </c>
      <c r="M266" s="46">
        <f t="shared" si="949"/>
        <v>2.9999999999999805E-2</v>
      </c>
      <c r="N266" s="43">
        <f t="shared" ref="N266" si="963">L266-M266</f>
        <v>0.27050000000000018</v>
      </c>
      <c r="O266" s="1"/>
    </row>
    <row r="267" spans="1:15" ht="14.25" x14ac:dyDescent="0.15">
      <c r="A267" s="40"/>
      <c r="B267" s="44"/>
      <c r="C267" s="27">
        <v>90.84</v>
      </c>
      <c r="D267" s="28">
        <v>-0.87</v>
      </c>
      <c r="E267" s="27">
        <v>9.67</v>
      </c>
      <c r="F267" s="27">
        <v>2.99</v>
      </c>
      <c r="G267" s="40"/>
      <c r="H267" s="40"/>
      <c r="I267" s="40"/>
      <c r="J267" s="41"/>
      <c r="K267" s="40"/>
      <c r="L267" s="40"/>
      <c r="M267" s="47"/>
      <c r="N267" s="43"/>
      <c r="O267" s="1"/>
    </row>
    <row r="268" spans="1:15" ht="30" customHeight="1" x14ac:dyDescent="0.15">
      <c r="A268" s="35" t="s">
        <v>27</v>
      </c>
      <c r="B268" s="36"/>
      <c r="C268" s="28">
        <f>AVERAGE(C260:C267)</f>
        <v>91.027500000000003</v>
      </c>
      <c r="D268" s="28">
        <f t="shared" ref="D268" si="964">AVERAGE(D260:D267)</f>
        <v>-0.88500000000000001</v>
      </c>
      <c r="E268" s="28">
        <f t="shared" ref="E268" si="965">AVERAGE(E260:E267)</f>
        <v>9.23</v>
      </c>
      <c r="F268" s="28">
        <f>AVERAGE(F260:F267)</f>
        <v>2.8587500000000006</v>
      </c>
      <c r="G268" s="28">
        <f t="shared" ref="G268" si="966">AVERAGE(G260:G267)</f>
        <v>-2.5000000000002132E-2</v>
      </c>
      <c r="H268" s="28">
        <f t="shared" ref="H268" si="967">AVERAGE(H260:H267)</f>
        <v>4.9999999999999767E-3</v>
      </c>
      <c r="I268" s="28">
        <f t="shared" ref="I268" si="968">AVERAGE(I260:I267)</f>
        <v>-8.9999999999999858E-2</v>
      </c>
      <c r="J268" s="28">
        <f t="shared" ref="J268" si="969">AVERAGE(J260:J267)</f>
        <v>0.37576726616642153</v>
      </c>
      <c r="K268" s="28">
        <f t="shared" ref="K268" si="970">AVERAGE(K260:K267)</f>
        <v>2.8587499999999997</v>
      </c>
      <c r="L268" s="28">
        <f t="shared" ref="L268" si="971">AVERAGE(L260:L267)</f>
        <v>0.28587499999999999</v>
      </c>
      <c r="M268" s="28">
        <f t="shared" ref="M268" si="972">AVERAGE(M260:M267)</f>
        <v>9.2499999999999805E-2</v>
      </c>
      <c r="N268" s="28">
        <f t="shared" ref="N268" si="973">AVERAGE(N260:N267)</f>
        <v>0.19337500000000021</v>
      </c>
      <c r="O268" s="1"/>
    </row>
    <row r="269" spans="1:15" ht="30" customHeight="1" x14ac:dyDescent="0.15">
      <c r="A269" s="31" t="s">
        <v>28</v>
      </c>
      <c r="B269" s="32"/>
      <c r="C269" s="28">
        <f>STDEV(C260:C267)</f>
        <v>0.25206291731572822</v>
      </c>
      <c r="D269" s="28">
        <f t="shared" ref="D269:N269" si="974">STDEV(D260:D267)</f>
        <v>5.3452248382484864E-2</v>
      </c>
      <c r="E269" s="28">
        <f t="shared" si="974"/>
        <v>0.45725891383953848</v>
      </c>
      <c r="F269" s="28">
        <f>STDEV(F260:F267)</f>
        <v>0.1266533514304751</v>
      </c>
      <c r="G269" s="28">
        <f t="shared" si="974"/>
        <v>0.36097091295560307</v>
      </c>
      <c r="H269" s="28">
        <f t="shared" si="974"/>
        <v>7.5498344352707469E-2</v>
      </c>
      <c r="I269" s="28">
        <f t="shared" si="974"/>
        <v>0.36120169803956653</v>
      </c>
      <c r="J269" s="28">
        <f t="shared" si="974"/>
        <v>0.29977538630962713</v>
      </c>
      <c r="K269" s="28">
        <f t="shared" si="974"/>
        <v>0.12133802646601216</v>
      </c>
      <c r="L269" s="28">
        <f t="shared" si="974"/>
        <v>1.2133802646601204E-2</v>
      </c>
      <c r="M269" s="28">
        <f t="shared" si="974"/>
        <v>6.7515430335096965E-2</v>
      </c>
      <c r="N269" s="28">
        <f t="shared" si="974"/>
        <v>7.6363576614334391E-2</v>
      </c>
      <c r="O269" s="1"/>
    </row>
    <row r="270" spans="1:15" ht="30" customHeight="1" x14ac:dyDescent="0.15">
      <c r="A270" s="33" t="s">
        <v>29</v>
      </c>
      <c r="B270" s="34"/>
      <c r="C270" s="28">
        <f>C269/C268*100</f>
        <v>0.27690853567957835</v>
      </c>
      <c r="D270" s="28">
        <f t="shared" ref="D270" si="975">D269/D268*100</f>
        <v>-6.0398020771169341</v>
      </c>
      <c r="E270" s="28">
        <f t="shared" ref="E270" si="976">E269/E268*100</f>
        <v>4.9540510708509036</v>
      </c>
      <c r="F270" s="28">
        <f>F269/F268*100</f>
        <v>4.4303752140087482</v>
      </c>
      <c r="G270" s="20">
        <f t="shared" ref="G270" si="977">G269/G268*100</f>
        <v>-1443.8836518222893</v>
      </c>
      <c r="H270" s="20">
        <f t="shared" ref="H270" si="978">H269/H268*100</f>
        <v>1509.9668870541564</v>
      </c>
      <c r="I270" s="20">
        <f t="shared" ref="I270" si="979">I269/I268*100</f>
        <v>-401.33522004396343</v>
      </c>
      <c r="J270" s="21">
        <f t="shared" ref="J270" si="980">J269/J268*100</f>
        <v>79.776876088206478</v>
      </c>
      <c r="K270" s="28">
        <f t="shared" ref="K270" si="981">K269/K268*100</f>
        <v>4.2444434268828051</v>
      </c>
      <c r="L270" s="28">
        <f t="shared" ref="L270" si="982">L269/L268*100</f>
        <v>4.2444434268827997</v>
      </c>
      <c r="M270" s="28">
        <f t="shared" ref="M270" si="983">M269/M268*100</f>
        <v>72.989654416321187</v>
      </c>
      <c r="N270" s="28">
        <f t="shared" ref="N270" si="984">N269/N268*100</f>
        <v>39.489890944710694</v>
      </c>
      <c r="O270" s="1"/>
    </row>
    <row r="271" spans="1:15" ht="14.25" x14ac:dyDescent="0.15">
      <c r="A271" s="40">
        <v>29</v>
      </c>
      <c r="B271" s="44" t="s">
        <v>51</v>
      </c>
      <c r="C271" s="27">
        <v>91.1</v>
      </c>
      <c r="D271" s="28">
        <v>-0.89</v>
      </c>
      <c r="E271" s="27">
        <v>8.9700000000000006</v>
      </c>
      <c r="F271" s="27">
        <v>3.51</v>
      </c>
      <c r="G271" s="40">
        <f t="shared" si="722"/>
        <v>5.9999999999988063E-2</v>
      </c>
      <c r="H271" s="40">
        <f t="shared" ref="H271" si="985">D271-D272</f>
        <v>0</v>
      </c>
      <c r="I271" s="40">
        <f t="shared" ref="I271" si="986">E271-E272</f>
        <v>-0.19999999999999929</v>
      </c>
      <c r="J271" s="41">
        <f>SQRT(G271*G271+H271*H271+I271*I271)</f>
        <v>0.2088061301782069</v>
      </c>
      <c r="K271" s="39">
        <f>AVERAGE(F271:F272)</f>
        <v>3.5049999999999999</v>
      </c>
      <c r="L271" s="40">
        <f t="shared" ref="L271:L277" si="987">K271*0.1</f>
        <v>0.35050000000000003</v>
      </c>
      <c r="M271" s="46">
        <f t="shared" ref="M271:M277" si="988">ABS(F271-F272)</f>
        <v>9.9999999999997868E-3</v>
      </c>
      <c r="N271" s="43">
        <f>L271-M271</f>
        <v>0.34050000000000025</v>
      </c>
      <c r="O271" s="1"/>
    </row>
    <row r="272" spans="1:15" ht="14.25" x14ac:dyDescent="0.15">
      <c r="A272" s="40"/>
      <c r="B272" s="44"/>
      <c r="C272" s="27">
        <v>91.04</v>
      </c>
      <c r="D272" s="28">
        <v>-0.89</v>
      </c>
      <c r="E272" s="27">
        <v>9.17</v>
      </c>
      <c r="F272" s="27">
        <v>3.5</v>
      </c>
      <c r="G272" s="40"/>
      <c r="H272" s="40"/>
      <c r="I272" s="40"/>
      <c r="J272" s="41"/>
      <c r="K272" s="40"/>
      <c r="L272" s="40"/>
      <c r="M272" s="47"/>
      <c r="N272" s="43"/>
      <c r="O272" s="1"/>
    </row>
    <row r="273" spans="1:15" ht="14.25" customHeight="1" x14ac:dyDescent="0.15">
      <c r="A273" s="40">
        <v>30</v>
      </c>
      <c r="B273" s="44"/>
      <c r="C273" s="27">
        <v>90.62</v>
      </c>
      <c r="D273" s="28">
        <v>-0.79</v>
      </c>
      <c r="E273" s="27">
        <v>8.77</v>
      </c>
      <c r="F273" s="27">
        <v>3.41</v>
      </c>
      <c r="G273" s="40">
        <f t="shared" si="722"/>
        <v>0.20000000000000284</v>
      </c>
      <c r="H273" s="40">
        <f t="shared" ref="H273" si="989">D273-D274</f>
        <v>-3.0000000000000027E-2</v>
      </c>
      <c r="I273" s="40">
        <f t="shared" ref="I273" si="990">E273-E274</f>
        <v>0</v>
      </c>
      <c r="J273" s="41">
        <f t="shared" ref="J273" si="991">SQRT(G273*G273+H273*H273+I273*I273)</f>
        <v>0.20223748416156967</v>
      </c>
      <c r="K273" s="39">
        <f t="shared" ref="K273" si="992">AVERAGE(F273:F274)</f>
        <v>3.45</v>
      </c>
      <c r="L273" s="40">
        <f t="shared" si="987"/>
        <v>0.34500000000000003</v>
      </c>
      <c r="M273" s="46">
        <f t="shared" si="988"/>
        <v>8.0000000000000071E-2</v>
      </c>
      <c r="N273" s="43">
        <f t="shared" ref="N273" si="993">L273-M273</f>
        <v>0.26499999999999996</v>
      </c>
      <c r="O273" s="1"/>
    </row>
    <row r="274" spans="1:15" ht="14.25" x14ac:dyDescent="0.15">
      <c r="A274" s="40"/>
      <c r="B274" s="44"/>
      <c r="C274" s="27">
        <v>90.42</v>
      </c>
      <c r="D274" s="28">
        <v>-0.76</v>
      </c>
      <c r="E274" s="27">
        <v>8.77</v>
      </c>
      <c r="F274" s="27">
        <v>3.49</v>
      </c>
      <c r="G274" s="40"/>
      <c r="H274" s="40"/>
      <c r="I274" s="40"/>
      <c r="J274" s="41"/>
      <c r="K274" s="40"/>
      <c r="L274" s="40"/>
      <c r="M274" s="47"/>
      <c r="N274" s="43"/>
      <c r="O274" s="1"/>
    </row>
    <row r="275" spans="1:15" ht="14.25" x14ac:dyDescent="0.15">
      <c r="A275" s="40">
        <v>31</v>
      </c>
      <c r="B275" s="44"/>
      <c r="C275" s="27">
        <v>90.48</v>
      </c>
      <c r="D275" s="28">
        <v>-0.82</v>
      </c>
      <c r="E275" s="27">
        <v>9.57</v>
      </c>
      <c r="F275" s="27">
        <v>3.58</v>
      </c>
      <c r="G275" s="40">
        <f t="shared" si="722"/>
        <v>1.0000000000005116E-2</v>
      </c>
      <c r="H275" s="40">
        <f t="shared" ref="H275" si="994">D275-D276</f>
        <v>1.0000000000000009E-2</v>
      </c>
      <c r="I275" s="40">
        <f t="shared" ref="I275" si="995">E275-E276</f>
        <v>-0.24000000000000021</v>
      </c>
      <c r="J275" s="41">
        <f t="shared" ref="J275" si="996">SQRT(G275*G275+H275*H275+I275*I275)</f>
        <v>0.24041630560342658</v>
      </c>
      <c r="K275" s="39">
        <f t="shared" ref="K275" si="997">AVERAGE(F275:F276)</f>
        <v>3.605</v>
      </c>
      <c r="L275" s="40">
        <f t="shared" si="987"/>
        <v>0.36050000000000004</v>
      </c>
      <c r="M275" s="46">
        <f t="shared" si="988"/>
        <v>4.9999999999999822E-2</v>
      </c>
      <c r="N275" s="43">
        <f t="shared" ref="N275" si="998">L275-M275</f>
        <v>0.31050000000000022</v>
      </c>
      <c r="O275" s="1"/>
    </row>
    <row r="276" spans="1:15" ht="14.25" x14ac:dyDescent="0.15">
      <c r="A276" s="40"/>
      <c r="B276" s="44"/>
      <c r="C276" s="27">
        <v>90.47</v>
      </c>
      <c r="D276" s="28">
        <v>-0.83</v>
      </c>
      <c r="E276" s="27">
        <v>9.81</v>
      </c>
      <c r="F276" s="27">
        <v>3.63</v>
      </c>
      <c r="G276" s="40"/>
      <c r="H276" s="40"/>
      <c r="I276" s="40"/>
      <c r="J276" s="41"/>
      <c r="K276" s="40"/>
      <c r="L276" s="40"/>
      <c r="M276" s="47"/>
      <c r="N276" s="43"/>
      <c r="O276" s="1"/>
    </row>
    <row r="277" spans="1:15" ht="14.25" x14ac:dyDescent="0.15">
      <c r="A277" s="40">
        <v>32</v>
      </c>
      <c r="B277" s="44"/>
      <c r="C277" s="27">
        <v>90.67</v>
      </c>
      <c r="D277" s="28">
        <v>-0.85</v>
      </c>
      <c r="E277" s="27">
        <v>9.84</v>
      </c>
      <c r="F277" s="27">
        <v>3.41</v>
      </c>
      <c r="G277" s="40">
        <f t="shared" si="722"/>
        <v>-3.9999999999992042E-2</v>
      </c>
      <c r="H277" s="40">
        <f t="shared" ref="H277" si="999">D277-D278</f>
        <v>0</v>
      </c>
      <c r="I277" s="40">
        <f t="shared" ref="I277" si="1000">E277-E278</f>
        <v>3.9999999999999147E-2</v>
      </c>
      <c r="J277" s="41">
        <f>SQRT(G277*G277+H277*H277+I277*I277)</f>
        <v>5.6568542494917572E-2</v>
      </c>
      <c r="K277" s="39">
        <f t="shared" ref="K277" si="1001">AVERAGE(F277:F278)</f>
        <v>3.4400000000000004</v>
      </c>
      <c r="L277" s="40">
        <f t="shared" si="987"/>
        <v>0.34400000000000008</v>
      </c>
      <c r="M277" s="46">
        <f t="shared" si="988"/>
        <v>6.0000000000000053E-2</v>
      </c>
      <c r="N277" s="43">
        <f t="shared" ref="N277" si="1002">L277-M277</f>
        <v>0.28400000000000003</v>
      </c>
      <c r="O277" s="1"/>
    </row>
    <row r="278" spans="1:15" ht="14.25" x14ac:dyDescent="0.15">
      <c r="A278" s="40"/>
      <c r="B278" s="44"/>
      <c r="C278" s="27">
        <v>90.71</v>
      </c>
      <c r="D278" s="28">
        <v>-0.85</v>
      </c>
      <c r="E278" s="27">
        <v>9.8000000000000007</v>
      </c>
      <c r="F278" s="27">
        <v>3.47</v>
      </c>
      <c r="G278" s="40"/>
      <c r="H278" s="40"/>
      <c r="I278" s="40"/>
      <c r="J278" s="41"/>
      <c r="K278" s="40"/>
      <c r="L278" s="40"/>
      <c r="M278" s="47"/>
      <c r="N278" s="43"/>
      <c r="O278" s="1"/>
    </row>
    <row r="279" spans="1:15" ht="30" customHeight="1" x14ac:dyDescent="0.15">
      <c r="A279" s="35" t="s">
        <v>27</v>
      </c>
      <c r="B279" s="36"/>
      <c r="C279" s="28">
        <f>AVERAGE(C271:C278)</f>
        <v>90.688749999999999</v>
      </c>
      <c r="D279" s="28">
        <f t="shared" ref="D279:N279" si="1003">AVERAGE(D271:D278)</f>
        <v>-0.83499999999999996</v>
      </c>
      <c r="E279" s="28">
        <f t="shared" si="1003"/>
        <v>9.3375000000000004</v>
      </c>
      <c r="F279" s="28">
        <f t="shared" si="1003"/>
        <v>3.5</v>
      </c>
      <c r="G279" s="28">
        <f t="shared" si="1003"/>
        <v>5.7500000000000995E-2</v>
      </c>
      <c r="H279" s="28">
        <f t="shared" si="1003"/>
        <v>-5.0000000000000044E-3</v>
      </c>
      <c r="I279" s="28">
        <f>AVERAGE(I271:I278)</f>
        <v>-0.10000000000000009</v>
      </c>
      <c r="J279" s="28">
        <f t="shared" si="1003"/>
        <v>0.1770071156095302</v>
      </c>
      <c r="K279" s="28">
        <f t="shared" si="1003"/>
        <v>3.5</v>
      </c>
      <c r="L279" s="28">
        <f t="shared" si="1003"/>
        <v>0.35000000000000003</v>
      </c>
      <c r="M279" s="28">
        <f t="shared" si="1003"/>
        <v>4.9999999999999933E-2</v>
      </c>
      <c r="N279" s="28">
        <f t="shared" si="1003"/>
        <v>0.3000000000000001</v>
      </c>
      <c r="O279" s="1"/>
    </row>
    <row r="280" spans="1:15" ht="30" customHeight="1" x14ac:dyDescent="0.15">
      <c r="A280" s="31" t="s">
        <v>28</v>
      </c>
      <c r="B280" s="32"/>
      <c r="C280" s="28">
        <f>STDEV(C271:C278)</f>
        <v>0.256817750832875</v>
      </c>
      <c r="D280" s="28">
        <f t="shared" ref="D280:N280" si="1004">STDEV(D271:D278)</f>
        <v>4.5355736761107275E-2</v>
      </c>
      <c r="E280" s="28">
        <f t="shared" si="1004"/>
        <v>0.47070615644400271</v>
      </c>
      <c r="F280" s="28">
        <f t="shared" si="1004"/>
        <v>7.6157731058639003E-2</v>
      </c>
      <c r="G280" s="28">
        <f t="shared" si="1004"/>
        <v>0.10340051579497192</v>
      </c>
      <c r="H280" s="28">
        <f t="shared" si="1004"/>
        <v>1.7320508075688787E-2</v>
      </c>
      <c r="I280" s="28">
        <f>STDEV(I271:I278)</f>
        <v>0.1404753833713695</v>
      </c>
      <c r="J280" s="28">
        <f t="shared" si="1004"/>
        <v>8.2003910667676025E-2</v>
      </c>
      <c r="K280" s="28">
        <f t="shared" si="1004"/>
        <v>7.560864148142489E-2</v>
      </c>
      <c r="L280" s="28">
        <f t="shared" si="1004"/>
        <v>7.5608641481424961E-3</v>
      </c>
      <c r="M280" s="28">
        <f t="shared" si="1004"/>
        <v>2.9439202887759617E-2</v>
      </c>
      <c r="N280" s="28">
        <f t="shared" si="1004"/>
        <v>3.2820217346426511E-2</v>
      </c>
      <c r="O280" s="1"/>
    </row>
    <row r="281" spans="1:15" ht="30" customHeight="1" x14ac:dyDescent="0.15">
      <c r="A281" s="33" t="s">
        <v>29</v>
      </c>
      <c r="B281" s="34"/>
      <c r="C281" s="28">
        <f>C280/C279*100</f>
        <v>0.28318589773579966</v>
      </c>
      <c r="D281" s="28">
        <f t="shared" ref="D281:N281" si="1005">D280/D279*100</f>
        <v>-5.4318247618092546</v>
      </c>
      <c r="E281" s="28">
        <f t="shared" si="1005"/>
        <v>5.0410297878875792</v>
      </c>
      <c r="F281" s="28">
        <f t="shared" si="1005"/>
        <v>2.1759351731039716</v>
      </c>
      <c r="G281" s="28">
        <f t="shared" si="1005"/>
        <v>179.8269839912524</v>
      </c>
      <c r="H281" s="28">
        <f t="shared" si="1005"/>
        <v>-346.41016151377545</v>
      </c>
      <c r="I281" s="28">
        <f>I280/I279*100</f>
        <v>-140.47538337136939</v>
      </c>
      <c r="J281" s="28">
        <f t="shared" si="1005"/>
        <v>46.32803059091308</v>
      </c>
      <c r="K281" s="28">
        <f t="shared" si="1005"/>
        <v>2.1602468994692825</v>
      </c>
      <c r="L281" s="28">
        <f t="shared" si="1005"/>
        <v>2.1602468994692847</v>
      </c>
      <c r="M281" s="28">
        <f t="shared" si="1005"/>
        <v>58.878405775519319</v>
      </c>
      <c r="N281" s="28">
        <f t="shared" si="1005"/>
        <v>10.940072448808834</v>
      </c>
      <c r="O281" s="1"/>
    </row>
    <row r="282" spans="1:15" ht="14.25" x14ac:dyDescent="0.15">
      <c r="A282" s="40">
        <v>33</v>
      </c>
      <c r="B282" s="44" t="s">
        <v>52</v>
      </c>
      <c r="C282" s="27">
        <v>90.52</v>
      </c>
      <c r="D282" s="28">
        <v>-0.81</v>
      </c>
      <c r="E282" s="27">
        <v>9.1199999999999992</v>
      </c>
      <c r="F282" s="27">
        <v>5.01</v>
      </c>
      <c r="G282" s="40">
        <f t="shared" ref="G282:G288" si="1006">C282-C283</f>
        <v>-0.12000000000000455</v>
      </c>
      <c r="H282" s="40">
        <f t="shared" ref="H282" si="1007">D282-D283</f>
        <v>5.9999999999999942E-2</v>
      </c>
      <c r="I282" s="40">
        <f t="shared" ref="I282" si="1008">E282-E283</f>
        <v>-0.88000000000000078</v>
      </c>
      <c r="J282" s="41">
        <f>SQRT(G282*G282+H282*H282+I282*I282)</f>
        <v>0.89016852337071695</v>
      </c>
      <c r="K282" s="39">
        <f>AVERAGE(F282:F283)</f>
        <v>4.92</v>
      </c>
      <c r="L282" s="40">
        <f t="shared" ref="L282:L288" si="1009">K282*0.1</f>
        <v>0.49199999999999999</v>
      </c>
      <c r="M282" s="46">
        <f t="shared" ref="M282:M288" si="1010">ABS(F282-F283)</f>
        <v>0.17999999999999972</v>
      </c>
      <c r="N282" s="43">
        <f>L282-M282</f>
        <v>0.31200000000000028</v>
      </c>
      <c r="O282" s="1"/>
    </row>
    <row r="283" spans="1:15" ht="14.25" x14ac:dyDescent="0.15">
      <c r="A283" s="40"/>
      <c r="B283" s="44"/>
      <c r="C283" s="27">
        <v>90.64</v>
      </c>
      <c r="D283" s="28">
        <v>-0.87</v>
      </c>
      <c r="E283" s="27">
        <v>10</v>
      </c>
      <c r="F283" s="27">
        <v>4.83</v>
      </c>
      <c r="G283" s="40"/>
      <c r="H283" s="40"/>
      <c r="I283" s="40"/>
      <c r="J283" s="41"/>
      <c r="K283" s="40"/>
      <c r="L283" s="40"/>
      <c r="M283" s="47"/>
      <c r="N283" s="43"/>
      <c r="O283" s="1"/>
    </row>
    <row r="284" spans="1:15" ht="14.25" x14ac:dyDescent="0.15">
      <c r="A284" s="40">
        <v>34</v>
      </c>
      <c r="B284" s="44"/>
      <c r="C284" s="27">
        <v>90.16</v>
      </c>
      <c r="D284" s="28">
        <v>-0.75</v>
      </c>
      <c r="E284" s="27">
        <v>9.2200000000000006</v>
      </c>
      <c r="F284" s="27">
        <v>4.93</v>
      </c>
      <c r="G284" s="40">
        <f t="shared" si="1006"/>
        <v>-0.15999999999999659</v>
      </c>
      <c r="H284" s="40">
        <f t="shared" ref="H284" si="1011">D284-D285</f>
        <v>1.0000000000000009E-2</v>
      </c>
      <c r="I284" s="40">
        <f t="shared" ref="I284" si="1012">E284-E285</f>
        <v>0.30000000000000071</v>
      </c>
      <c r="J284" s="41">
        <f t="shared" ref="J284" si="1013">SQRT(G284*G284+H284*H284+I284*I284)</f>
        <v>0.34014702703389799</v>
      </c>
      <c r="K284" s="39">
        <f t="shared" ref="K284" si="1014">AVERAGE(F284:F285)</f>
        <v>5.1099999999999994</v>
      </c>
      <c r="L284" s="40">
        <f t="shared" si="1009"/>
        <v>0.51100000000000001</v>
      </c>
      <c r="M284" s="46">
        <f t="shared" si="1010"/>
        <v>0.36000000000000032</v>
      </c>
      <c r="N284" s="43">
        <f t="shared" ref="N284" si="1015">L284-M284</f>
        <v>0.15099999999999969</v>
      </c>
      <c r="O284" s="1"/>
    </row>
    <row r="285" spans="1:15" ht="14.25" x14ac:dyDescent="0.15">
      <c r="A285" s="40"/>
      <c r="B285" s="44"/>
      <c r="C285" s="27">
        <v>90.32</v>
      </c>
      <c r="D285" s="28">
        <v>-0.76</v>
      </c>
      <c r="E285" s="27">
        <v>8.92</v>
      </c>
      <c r="F285" s="27">
        <v>5.29</v>
      </c>
      <c r="G285" s="40"/>
      <c r="H285" s="40"/>
      <c r="I285" s="40"/>
      <c r="J285" s="41"/>
      <c r="K285" s="40"/>
      <c r="L285" s="40"/>
      <c r="M285" s="47"/>
      <c r="N285" s="43"/>
      <c r="O285" s="1"/>
    </row>
    <row r="286" spans="1:15" ht="14.25" x14ac:dyDescent="0.15">
      <c r="A286" s="40">
        <v>35</v>
      </c>
      <c r="B286" s="44"/>
      <c r="C286" s="27">
        <v>90.34</v>
      </c>
      <c r="D286" s="28">
        <v>-0.82</v>
      </c>
      <c r="E286" s="27">
        <v>9.9600000000000009</v>
      </c>
      <c r="F286" s="27">
        <v>5.29</v>
      </c>
      <c r="G286" s="40">
        <f t="shared" si="1006"/>
        <v>0.35999999999999943</v>
      </c>
      <c r="H286" s="40">
        <f t="shared" ref="H286" si="1016">D286-D287</f>
        <v>-6.9999999999999951E-2</v>
      </c>
      <c r="I286" s="40">
        <f t="shared" ref="I286" si="1017">E286-E287</f>
        <v>5.0000000000000711E-2</v>
      </c>
      <c r="J286" s="41">
        <f t="shared" ref="J286" si="1018">SQRT(G286*G286+H286*H286+I286*I286)</f>
        <v>0.37013511046643449</v>
      </c>
      <c r="K286" s="39">
        <f t="shared" ref="K286" si="1019">AVERAGE(F286:F287)</f>
        <v>5.2200000000000006</v>
      </c>
      <c r="L286" s="40">
        <f t="shared" si="1009"/>
        <v>0.52200000000000013</v>
      </c>
      <c r="M286" s="46">
        <f t="shared" si="1010"/>
        <v>0.13999999999999968</v>
      </c>
      <c r="N286" s="43">
        <f t="shared" ref="N286" si="1020">L286-M286</f>
        <v>0.38200000000000045</v>
      </c>
      <c r="O286" s="1"/>
    </row>
    <row r="287" spans="1:15" ht="14.25" x14ac:dyDescent="0.15">
      <c r="A287" s="40"/>
      <c r="B287" s="44"/>
      <c r="C287" s="27">
        <v>89.98</v>
      </c>
      <c r="D287" s="28">
        <v>-0.75</v>
      </c>
      <c r="E287" s="27">
        <v>9.91</v>
      </c>
      <c r="F287" s="27">
        <v>5.15</v>
      </c>
      <c r="G287" s="40"/>
      <c r="H287" s="40"/>
      <c r="I287" s="40"/>
      <c r="J287" s="41"/>
      <c r="K287" s="40"/>
      <c r="L287" s="40"/>
      <c r="M287" s="47"/>
      <c r="N287" s="43"/>
      <c r="O287" s="1"/>
    </row>
    <row r="288" spans="1:15" ht="14.25" x14ac:dyDescent="0.15">
      <c r="A288" s="40">
        <v>36</v>
      </c>
      <c r="B288" s="44"/>
      <c r="C288" s="27">
        <v>90.61</v>
      </c>
      <c r="D288" s="28">
        <v>-0.85</v>
      </c>
      <c r="E288" s="27">
        <v>9.93</v>
      </c>
      <c r="F288" s="27">
        <v>5.18</v>
      </c>
      <c r="G288" s="40">
        <f t="shared" si="1006"/>
        <v>0.51999999999999602</v>
      </c>
      <c r="H288" s="40">
        <f t="shared" ref="H288" si="1021">D288-D289</f>
        <v>-8.9999999999999969E-2</v>
      </c>
      <c r="I288" s="40">
        <f t="shared" ref="I288" si="1022">E288-E289</f>
        <v>-3.0000000000001137E-2</v>
      </c>
      <c r="J288" s="41">
        <f>SQRT(G288*G288+H288*H288+I288*I288)</f>
        <v>0.52858301145609654</v>
      </c>
      <c r="K288" s="39">
        <f t="shared" ref="K288" si="1023">AVERAGE(F288:F289)</f>
        <v>5.2549999999999999</v>
      </c>
      <c r="L288" s="40">
        <f t="shared" si="1009"/>
        <v>0.52549999999999997</v>
      </c>
      <c r="M288" s="46">
        <f t="shared" si="1010"/>
        <v>0.15000000000000036</v>
      </c>
      <c r="N288" s="43">
        <f t="shared" ref="N288" si="1024">L288-M288</f>
        <v>0.37549999999999961</v>
      </c>
      <c r="O288" s="1"/>
    </row>
    <row r="289" spans="1:15" ht="14.25" x14ac:dyDescent="0.15">
      <c r="A289" s="40"/>
      <c r="B289" s="44"/>
      <c r="C289" s="27">
        <v>90.09</v>
      </c>
      <c r="D289" s="28">
        <v>-0.76</v>
      </c>
      <c r="E289" s="27">
        <v>9.9600000000000009</v>
      </c>
      <c r="F289" s="27">
        <v>5.33</v>
      </c>
      <c r="G289" s="40"/>
      <c r="H289" s="40"/>
      <c r="I289" s="40"/>
      <c r="J289" s="41"/>
      <c r="K289" s="40"/>
      <c r="L289" s="40"/>
      <c r="M289" s="47"/>
      <c r="N289" s="43"/>
      <c r="O289" s="1"/>
    </row>
    <row r="290" spans="1:15" ht="30" customHeight="1" x14ac:dyDescent="0.15">
      <c r="A290" s="35" t="s">
        <v>27</v>
      </c>
      <c r="B290" s="36"/>
      <c r="C290" s="28">
        <f>AVERAGE(C282:C289)</f>
        <v>90.33250000000001</v>
      </c>
      <c r="D290" s="28">
        <f t="shared" ref="D290" si="1025">AVERAGE(D282:D289)</f>
        <v>-0.79625000000000001</v>
      </c>
      <c r="E290" s="28">
        <f t="shared" ref="E290" si="1026">AVERAGE(E282:E289)</f>
        <v>9.6275000000000013</v>
      </c>
      <c r="F290" s="28">
        <f t="shared" ref="F290" si="1027">AVERAGE(F282:F289)</f>
        <v>5.1262499999999998</v>
      </c>
      <c r="G290" s="28">
        <f t="shared" ref="G290" si="1028">AVERAGE(G282:G289)</f>
        <v>0.14999999999999858</v>
      </c>
      <c r="H290" s="28">
        <f t="shared" ref="H290" si="1029">AVERAGE(H282:H289)</f>
        <v>-2.2499999999999992E-2</v>
      </c>
      <c r="I290" s="28">
        <f>AVERAGE(I282:I289)</f>
        <v>-0.14000000000000012</v>
      </c>
      <c r="J290" s="28">
        <f t="shared" ref="J290" si="1030">AVERAGE(J282:J289)</f>
        <v>0.53225841808178642</v>
      </c>
      <c r="K290" s="28">
        <f>AVERAGE(K282:K289)</f>
        <v>5.1262499999999998</v>
      </c>
      <c r="L290" s="28">
        <f t="shared" ref="L290" si="1031">AVERAGE(L282:L289)</f>
        <v>0.51262500000000011</v>
      </c>
      <c r="M290" s="28">
        <f t="shared" ref="M290" si="1032">AVERAGE(M282:M289)</f>
        <v>0.20750000000000002</v>
      </c>
      <c r="N290" s="28">
        <f t="shared" ref="N290" si="1033">AVERAGE(N282:N289)</f>
        <v>0.30512499999999998</v>
      </c>
      <c r="O290" s="1"/>
    </row>
    <row r="291" spans="1:15" ht="30" customHeight="1" x14ac:dyDescent="0.15">
      <c r="A291" s="31" t="s">
        <v>28</v>
      </c>
      <c r="B291" s="32"/>
      <c r="C291" s="28">
        <f>STDEV(C282:C289)</f>
        <v>0.24487606194621203</v>
      </c>
      <c r="D291" s="28">
        <f t="shared" ref="D291:H291" si="1034">STDEV(D282:D289)</f>
        <v>4.7790465277381122E-2</v>
      </c>
      <c r="E291" s="28">
        <f t="shared" si="1034"/>
        <v>0.45596835729811674</v>
      </c>
      <c r="F291" s="28">
        <f t="shared" si="1034"/>
        <v>0.18454093622515619</v>
      </c>
      <c r="G291" s="28">
        <f t="shared" si="1034"/>
        <v>0.34156502553198526</v>
      </c>
      <c r="H291" s="28">
        <f t="shared" si="1034"/>
        <v>6.9940450861190911E-2</v>
      </c>
      <c r="I291" s="28">
        <f>STDEV(I282:I289)</f>
        <v>0.51296523598908139</v>
      </c>
      <c r="J291" s="28">
        <f t="shared" ref="J291:N291" si="1035">STDEV(J282:J289)</f>
        <v>0.25252320390035093</v>
      </c>
      <c r="K291" s="28">
        <f>STDEV(K282:K289)</f>
        <v>0.15074122417794913</v>
      </c>
      <c r="L291" s="28">
        <f t="shared" si="1035"/>
        <v>1.5074122417794919E-2</v>
      </c>
      <c r="M291" s="28">
        <f t="shared" si="1035"/>
        <v>0.10307764064044173</v>
      </c>
      <c r="N291" s="28">
        <f t="shared" si="1035"/>
        <v>0.10749292612384651</v>
      </c>
      <c r="O291" s="1"/>
    </row>
    <row r="292" spans="1:15" ht="30" customHeight="1" x14ac:dyDescent="0.15">
      <c r="A292" s="33" t="s">
        <v>29</v>
      </c>
      <c r="B292" s="34"/>
      <c r="C292" s="28">
        <f>C291/C290*100</f>
        <v>0.27108301214536518</v>
      </c>
      <c r="D292" s="28">
        <f t="shared" ref="D292" si="1036">D291/D290*100</f>
        <v>-6.0019422640353062</v>
      </c>
      <c r="E292" s="28">
        <f t="shared" ref="E292" si="1037">E291/E290*100</f>
        <v>4.7361034255841776</v>
      </c>
      <c r="F292" s="28">
        <f t="shared" ref="F292" si="1038">F291/F290*100</f>
        <v>3.5999207261673973</v>
      </c>
      <c r="G292" s="28">
        <f t="shared" ref="G292" si="1039">G291/G290*100</f>
        <v>227.71001702132568</v>
      </c>
      <c r="H292" s="28">
        <f t="shared" ref="H292" si="1040">H291/H290*100</f>
        <v>-310.84644827195973</v>
      </c>
      <c r="I292" s="28">
        <f>I291/I290*100</f>
        <v>-366.40373999220066</v>
      </c>
      <c r="J292" s="28">
        <f t="shared" ref="J292" si="1041">J291/J290*100</f>
        <v>47.443721944393637</v>
      </c>
      <c r="K292" s="28">
        <f>K291/K290*100</f>
        <v>2.9405749656756721</v>
      </c>
      <c r="L292" s="28">
        <f t="shared" ref="L292" si="1042">L291/L290*100</f>
        <v>2.9405749656756726</v>
      </c>
      <c r="M292" s="28">
        <f t="shared" ref="M292" si="1043">M291/M290*100</f>
        <v>49.675971392983961</v>
      </c>
      <c r="N292" s="28">
        <f t="shared" ref="N292" si="1044">N291/N290*100</f>
        <v>35.229144161850556</v>
      </c>
      <c r="O292" s="1"/>
    </row>
    <row r="293" spans="1:15" x14ac:dyDescent="0.15">
      <c r="E293" s="13"/>
      <c r="F293" s="13"/>
      <c r="G293" s="13"/>
      <c r="O293" s="5"/>
    </row>
    <row r="294" spans="1:15" x14ac:dyDescent="0.15">
      <c r="E294" s="13"/>
      <c r="F294" s="13"/>
      <c r="G294" s="13"/>
      <c r="O294" s="1"/>
    </row>
    <row r="295" spans="1:15" x14ac:dyDescent="0.15">
      <c r="E295" s="13"/>
      <c r="F295" s="13"/>
      <c r="G295" s="13"/>
      <c r="O295" s="1"/>
    </row>
    <row r="296" spans="1:15" x14ac:dyDescent="0.15">
      <c r="E296" s="13"/>
      <c r="F296" s="13"/>
      <c r="G296" s="13"/>
      <c r="O296" s="1"/>
    </row>
    <row r="297" spans="1:15" x14ac:dyDescent="0.15">
      <c r="E297" s="13"/>
      <c r="F297" s="13"/>
      <c r="G297" s="13"/>
      <c r="O297" s="1"/>
    </row>
    <row r="298" spans="1:15" x14ac:dyDescent="0.15">
      <c r="E298" s="13"/>
      <c r="F298" s="13"/>
      <c r="G298" s="13"/>
      <c r="O298" s="1"/>
    </row>
    <row r="299" spans="1:15" x14ac:dyDescent="0.15">
      <c r="E299" s="13"/>
      <c r="F299" s="13"/>
      <c r="G299" s="13"/>
      <c r="O299" s="1"/>
    </row>
    <row r="300" spans="1:15" x14ac:dyDescent="0.15">
      <c r="E300" s="13"/>
      <c r="F300" s="13"/>
      <c r="G300" s="13"/>
      <c r="O300" s="1"/>
    </row>
    <row r="301" spans="1:15" x14ac:dyDescent="0.15">
      <c r="E301" s="13"/>
      <c r="F301" s="13"/>
      <c r="G301" s="13"/>
      <c r="O301" s="1"/>
    </row>
    <row r="302" spans="1:15" x14ac:dyDescent="0.15">
      <c r="E302" s="13"/>
      <c r="F302" s="13"/>
      <c r="G302" s="13"/>
      <c r="O302" s="1"/>
    </row>
    <row r="303" spans="1:15" x14ac:dyDescent="0.15">
      <c r="E303" s="13"/>
      <c r="F303" s="13"/>
      <c r="G303" s="13"/>
      <c r="O303" s="1"/>
    </row>
    <row r="304" spans="1:15" x14ac:dyDescent="0.15">
      <c r="E304" s="13"/>
      <c r="F304" s="13"/>
      <c r="G304" s="13"/>
      <c r="O304" s="1"/>
    </row>
    <row r="305" spans="5:15" x14ac:dyDescent="0.15">
      <c r="E305" s="13"/>
      <c r="F305" s="13"/>
      <c r="G305" s="13"/>
      <c r="O305" s="1"/>
    </row>
    <row r="306" spans="5:15" x14ac:dyDescent="0.15">
      <c r="E306" s="13"/>
      <c r="F306" s="13"/>
      <c r="G306" s="13"/>
      <c r="O306" s="1"/>
    </row>
    <row r="307" spans="5:15" x14ac:dyDescent="0.15">
      <c r="E307" s="13"/>
      <c r="F307" s="13"/>
      <c r="G307" s="13"/>
      <c r="O307" s="1"/>
    </row>
    <row r="308" spans="5:15" x14ac:dyDescent="0.15">
      <c r="E308" s="13"/>
      <c r="F308" s="13"/>
      <c r="G308" s="13"/>
      <c r="O308" s="1"/>
    </row>
    <row r="309" spans="5:15" x14ac:dyDescent="0.15">
      <c r="E309" s="13"/>
      <c r="F309" s="13"/>
      <c r="G309" s="13"/>
      <c r="O309" s="1"/>
    </row>
    <row r="310" spans="5:15" x14ac:dyDescent="0.15">
      <c r="E310" s="13"/>
      <c r="F310" s="13"/>
      <c r="G310" s="13"/>
      <c r="O310" s="1"/>
    </row>
    <row r="311" spans="5:15" x14ac:dyDescent="0.15">
      <c r="E311" s="13"/>
      <c r="F311" s="13"/>
      <c r="G311" s="13"/>
      <c r="O311" s="1"/>
    </row>
    <row r="312" spans="5:15" x14ac:dyDescent="0.15">
      <c r="E312" s="13"/>
      <c r="F312" s="13"/>
      <c r="G312" s="13"/>
      <c r="O312" s="1"/>
    </row>
    <row r="313" spans="5:15" x14ac:dyDescent="0.15">
      <c r="E313" s="13"/>
      <c r="F313" s="13"/>
      <c r="G313" s="13"/>
      <c r="O313" s="1"/>
    </row>
    <row r="314" spans="5:15" x14ac:dyDescent="0.15">
      <c r="E314" s="13"/>
      <c r="F314" s="13"/>
      <c r="G314" s="13"/>
      <c r="O314" s="1"/>
    </row>
    <row r="315" spans="5:15" x14ac:dyDescent="0.15">
      <c r="E315" s="13"/>
      <c r="F315" s="13"/>
      <c r="G315" s="13"/>
      <c r="O315" s="1"/>
    </row>
    <row r="316" spans="5:15" x14ac:dyDescent="0.15">
      <c r="E316" s="13"/>
      <c r="F316" s="13"/>
      <c r="G316" s="13"/>
    </row>
    <row r="317" spans="5:15" x14ac:dyDescent="0.15">
      <c r="E317" s="13"/>
      <c r="F317" s="13"/>
      <c r="G317" s="13"/>
      <c r="O317" s="1"/>
    </row>
    <row r="318" spans="5:15" x14ac:dyDescent="0.15">
      <c r="E318" s="13"/>
      <c r="F318" s="13"/>
      <c r="G318" s="13"/>
      <c r="O318" s="1"/>
    </row>
    <row r="319" spans="5:15" x14ac:dyDescent="0.15">
      <c r="E319" s="13"/>
      <c r="F319" s="13"/>
      <c r="G319" s="13"/>
      <c r="O319" s="1"/>
    </row>
    <row r="320" spans="5:15" x14ac:dyDescent="0.15">
      <c r="E320" s="13"/>
      <c r="F320" s="13"/>
      <c r="G320" s="13"/>
      <c r="O320" s="1"/>
    </row>
    <row r="321" spans="5:15" x14ac:dyDescent="0.15">
      <c r="E321" s="13"/>
      <c r="F321" s="13"/>
      <c r="G321" s="13"/>
      <c r="O321" s="1"/>
    </row>
    <row r="322" spans="5:15" x14ac:dyDescent="0.15">
      <c r="E322" s="13"/>
      <c r="F322" s="13"/>
      <c r="G322" s="13"/>
      <c r="O322" s="1"/>
    </row>
    <row r="323" spans="5:15" x14ac:dyDescent="0.15">
      <c r="E323" s="13"/>
      <c r="F323" s="13"/>
      <c r="G323" s="13"/>
      <c r="O323" s="1"/>
    </row>
    <row r="324" spans="5:15" x14ac:dyDescent="0.15">
      <c r="E324" s="13"/>
      <c r="F324" s="13"/>
      <c r="G324" s="13"/>
      <c r="O324" s="1"/>
    </row>
    <row r="325" spans="5:15" x14ac:dyDescent="0.15">
      <c r="E325" s="13"/>
      <c r="F325" s="13"/>
      <c r="G325" s="13"/>
      <c r="O325" s="1"/>
    </row>
    <row r="326" spans="5:15" x14ac:dyDescent="0.15">
      <c r="E326" s="13"/>
      <c r="F326" s="13"/>
      <c r="G326" s="13"/>
      <c r="O326" s="1"/>
    </row>
    <row r="327" spans="5:15" x14ac:dyDescent="0.15">
      <c r="E327" s="13"/>
      <c r="F327" s="13"/>
      <c r="G327" s="13"/>
      <c r="O327" s="1"/>
    </row>
    <row r="328" spans="5:15" x14ac:dyDescent="0.15">
      <c r="E328" s="13"/>
      <c r="F328" s="13"/>
      <c r="G328" s="13"/>
      <c r="O328" s="1"/>
    </row>
    <row r="329" spans="5:15" x14ac:dyDescent="0.15">
      <c r="E329" s="13"/>
      <c r="F329" s="13"/>
      <c r="G329" s="13"/>
      <c r="O329" s="1"/>
    </row>
    <row r="330" spans="5:15" x14ac:dyDescent="0.15">
      <c r="E330" s="13"/>
      <c r="F330" s="13"/>
      <c r="G330" s="13"/>
      <c r="O330" s="1"/>
    </row>
    <row r="331" spans="5:15" x14ac:dyDescent="0.15">
      <c r="E331" s="13"/>
      <c r="F331" s="13"/>
      <c r="G331" s="13"/>
      <c r="O331" s="1"/>
    </row>
    <row r="332" spans="5:15" x14ac:dyDescent="0.15">
      <c r="E332" s="13"/>
      <c r="F332" s="13"/>
      <c r="G332" s="13"/>
      <c r="O332" s="1"/>
    </row>
    <row r="333" spans="5:15" x14ac:dyDescent="0.15">
      <c r="E333" s="13"/>
      <c r="F333" s="13"/>
      <c r="G333" s="13"/>
      <c r="O333" s="1"/>
    </row>
    <row r="334" spans="5:15" x14ac:dyDescent="0.15">
      <c r="E334" s="13"/>
      <c r="F334" s="13"/>
      <c r="G334" s="13"/>
      <c r="O334" s="1"/>
    </row>
    <row r="335" spans="5:15" x14ac:dyDescent="0.15">
      <c r="E335" s="13"/>
      <c r="F335" s="13"/>
      <c r="G335" s="13"/>
      <c r="O335" s="1"/>
    </row>
    <row r="336" spans="5:15" x14ac:dyDescent="0.15">
      <c r="E336" s="13"/>
      <c r="F336" s="13"/>
      <c r="G336" s="13"/>
      <c r="O336" s="1"/>
    </row>
    <row r="337" spans="5:15" x14ac:dyDescent="0.15">
      <c r="E337" s="13"/>
      <c r="F337" s="13"/>
      <c r="G337" s="13"/>
      <c r="O337" s="1"/>
    </row>
    <row r="338" spans="5:15" x14ac:dyDescent="0.15">
      <c r="E338" s="13"/>
      <c r="F338" s="13"/>
      <c r="G338" s="13"/>
      <c r="O338" s="1"/>
    </row>
    <row r="339" spans="5:15" x14ac:dyDescent="0.15">
      <c r="E339" s="13"/>
      <c r="F339" s="13"/>
      <c r="G339" s="13"/>
      <c r="O339" s="1"/>
    </row>
    <row r="340" spans="5:15" x14ac:dyDescent="0.15">
      <c r="E340" s="13"/>
      <c r="F340" s="13"/>
      <c r="G340" s="13"/>
      <c r="O340" s="1"/>
    </row>
    <row r="341" spans="5:15" x14ac:dyDescent="0.15">
      <c r="E341" s="13"/>
      <c r="F341" s="13"/>
      <c r="G341" s="13"/>
      <c r="O341" s="1"/>
    </row>
    <row r="342" spans="5:15" x14ac:dyDescent="0.15">
      <c r="E342" s="13"/>
      <c r="F342" s="13"/>
      <c r="G342" s="13"/>
      <c r="O342" s="1"/>
    </row>
    <row r="343" spans="5:15" x14ac:dyDescent="0.15">
      <c r="E343" s="13"/>
      <c r="F343" s="13"/>
      <c r="G343" s="13"/>
      <c r="O343" s="1"/>
    </row>
    <row r="344" spans="5:15" x14ac:dyDescent="0.15">
      <c r="E344" s="13"/>
      <c r="F344" s="13"/>
      <c r="G344" s="13"/>
      <c r="O344" s="1"/>
    </row>
    <row r="345" spans="5:15" x14ac:dyDescent="0.15">
      <c r="E345" s="13"/>
      <c r="F345" s="13"/>
      <c r="G345" s="13"/>
      <c r="O345" s="1"/>
    </row>
    <row r="346" spans="5:15" x14ac:dyDescent="0.15">
      <c r="E346" s="13"/>
      <c r="F346" s="13"/>
      <c r="G346" s="13"/>
      <c r="O346" s="1"/>
    </row>
    <row r="347" spans="5:15" x14ac:dyDescent="0.15">
      <c r="E347" s="13"/>
      <c r="F347" s="13"/>
      <c r="G347" s="13"/>
      <c r="O347" s="1"/>
    </row>
    <row r="348" spans="5:15" x14ac:dyDescent="0.15">
      <c r="E348" s="13"/>
      <c r="F348" s="13"/>
      <c r="G348" s="13"/>
      <c r="O348" s="1"/>
    </row>
    <row r="349" spans="5:15" x14ac:dyDescent="0.15">
      <c r="E349" s="13"/>
      <c r="F349" s="13"/>
      <c r="G349" s="13"/>
      <c r="O349" s="1"/>
    </row>
    <row r="350" spans="5:15" x14ac:dyDescent="0.15">
      <c r="E350" s="13"/>
      <c r="F350" s="13"/>
      <c r="G350" s="13"/>
      <c r="O350" s="1"/>
    </row>
    <row r="351" spans="5:15" x14ac:dyDescent="0.15">
      <c r="E351" s="13"/>
      <c r="F351" s="13"/>
      <c r="G351" s="13"/>
      <c r="O351" s="1"/>
    </row>
    <row r="352" spans="5:15" x14ac:dyDescent="0.15">
      <c r="E352" s="13"/>
      <c r="F352" s="13"/>
      <c r="G352" s="13"/>
      <c r="O352" s="1"/>
    </row>
    <row r="353" spans="5:15" x14ac:dyDescent="0.15">
      <c r="E353" s="13"/>
      <c r="F353" s="13"/>
      <c r="G353" s="13"/>
      <c r="O353" s="1"/>
    </row>
    <row r="354" spans="5:15" x14ac:dyDescent="0.15">
      <c r="E354" s="13"/>
      <c r="F354" s="13"/>
      <c r="G354" s="13"/>
      <c r="O354" s="1"/>
    </row>
    <row r="355" spans="5:15" x14ac:dyDescent="0.15">
      <c r="E355" s="13"/>
      <c r="F355" s="13"/>
      <c r="G355" s="13"/>
      <c r="O355" s="1"/>
    </row>
    <row r="356" spans="5:15" x14ac:dyDescent="0.15">
      <c r="E356" s="13"/>
      <c r="F356" s="13"/>
      <c r="G356" s="13"/>
      <c r="O356" s="1"/>
    </row>
    <row r="357" spans="5:15" x14ac:dyDescent="0.15">
      <c r="E357" s="13"/>
      <c r="F357" s="13"/>
      <c r="G357" s="13"/>
      <c r="O357" s="1"/>
    </row>
    <row r="358" spans="5:15" x14ac:dyDescent="0.15">
      <c r="E358" s="13"/>
      <c r="F358" s="13"/>
      <c r="G358" s="13"/>
      <c r="O358" s="1"/>
    </row>
    <row r="359" spans="5:15" x14ac:dyDescent="0.15">
      <c r="E359" s="13"/>
      <c r="F359" s="13"/>
      <c r="G359" s="13"/>
    </row>
    <row r="360" spans="5:15" x14ac:dyDescent="0.15">
      <c r="E360" s="13"/>
      <c r="F360" s="13"/>
      <c r="G360" s="13"/>
    </row>
    <row r="361" spans="5:15" x14ac:dyDescent="0.15">
      <c r="E361" s="13"/>
      <c r="F361" s="13"/>
      <c r="G361" s="13"/>
    </row>
    <row r="362" spans="5:15" x14ac:dyDescent="0.15">
      <c r="E362" s="13"/>
      <c r="F362" s="13"/>
      <c r="G362" s="13"/>
    </row>
    <row r="363" spans="5:15" x14ac:dyDescent="0.15">
      <c r="E363" s="13"/>
      <c r="F363" s="13"/>
      <c r="G363" s="13"/>
    </row>
    <row r="364" spans="5:15" x14ac:dyDescent="0.15">
      <c r="E364" s="13"/>
      <c r="F364" s="13"/>
      <c r="G364" s="13"/>
    </row>
    <row r="365" spans="5:15" x14ac:dyDescent="0.15">
      <c r="E365" s="13"/>
      <c r="F365" s="13"/>
      <c r="G365" s="13"/>
    </row>
    <row r="366" spans="5:15" x14ac:dyDescent="0.15">
      <c r="E366" s="13"/>
      <c r="F366" s="13"/>
      <c r="G366" s="13"/>
    </row>
    <row r="367" spans="5:15" x14ac:dyDescent="0.15">
      <c r="E367" s="13"/>
      <c r="F367" s="13"/>
      <c r="G367" s="13"/>
    </row>
    <row r="368" spans="5:15" x14ac:dyDescent="0.15">
      <c r="E368" s="13"/>
      <c r="F368" s="13"/>
      <c r="G368" s="13"/>
    </row>
    <row r="369" spans="5:7" x14ac:dyDescent="0.15">
      <c r="E369" s="13"/>
      <c r="F369" s="13"/>
      <c r="G369" s="13"/>
    </row>
    <row r="370" spans="5:7" x14ac:dyDescent="0.15">
      <c r="E370" s="13"/>
      <c r="F370" s="13"/>
      <c r="G370" s="13"/>
    </row>
    <row r="371" spans="5:7" x14ac:dyDescent="0.15">
      <c r="E371" s="13"/>
      <c r="F371" s="13"/>
      <c r="G371" s="13"/>
    </row>
    <row r="372" spans="5:7" x14ac:dyDescent="0.15">
      <c r="E372" s="13"/>
      <c r="F372" s="13"/>
      <c r="G372" s="13"/>
    </row>
    <row r="373" spans="5:7" x14ac:dyDescent="0.15">
      <c r="E373" s="13"/>
      <c r="F373" s="13"/>
      <c r="G373" s="13"/>
    </row>
    <row r="374" spans="5:7" x14ac:dyDescent="0.15">
      <c r="E374" s="13"/>
      <c r="F374" s="13"/>
      <c r="G374" s="13"/>
    </row>
    <row r="375" spans="5:7" x14ac:dyDescent="0.15">
      <c r="E375" s="13"/>
      <c r="F375" s="13"/>
      <c r="G375" s="13"/>
    </row>
    <row r="376" spans="5:7" x14ac:dyDescent="0.15">
      <c r="E376" s="13"/>
      <c r="F376" s="13"/>
      <c r="G376" s="13"/>
    </row>
    <row r="377" spans="5:7" x14ac:dyDescent="0.15">
      <c r="E377" s="13"/>
      <c r="F377" s="13"/>
      <c r="G377" s="13"/>
    </row>
    <row r="378" spans="5:7" x14ac:dyDescent="0.15">
      <c r="E378" s="13"/>
      <c r="F378" s="13"/>
      <c r="G378" s="13"/>
    </row>
    <row r="379" spans="5:7" x14ac:dyDescent="0.15">
      <c r="E379" s="13"/>
      <c r="F379" s="13"/>
      <c r="G379" s="13"/>
    </row>
    <row r="380" spans="5:7" x14ac:dyDescent="0.15">
      <c r="E380" s="13"/>
      <c r="F380" s="13"/>
      <c r="G380" s="13"/>
    </row>
    <row r="381" spans="5:7" x14ac:dyDescent="0.15">
      <c r="E381" s="13"/>
      <c r="F381" s="13"/>
      <c r="G381" s="13"/>
    </row>
    <row r="382" spans="5:7" x14ac:dyDescent="0.15">
      <c r="E382" s="13"/>
      <c r="F382" s="13"/>
      <c r="G382" s="13"/>
    </row>
    <row r="383" spans="5:7" x14ac:dyDescent="0.15">
      <c r="E383" s="13"/>
      <c r="F383" s="13"/>
      <c r="G383" s="13"/>
    </row>
    <row r="384" spans="5:7" x14ac:dyDescent="0.15">
      <c r="E384" s="13"/>
      <c r="F384" s="13"/>
      <c r="G384" s="13"/>
    </row>
    <row r="385" spans="5:7" x14ac:dyDescent="0.15">
      <c r="E385" s="13"/>
      <c r="F385" s="13"/>
      <c r="G385" s="13"/>
    </row>
    <row r="386" spans="5:7" x14ac:dyDescent="0.15">
      <c r="E386" s="13"/>
      <c r="F386" s="13"/>
      <c r="G386" s="13"/>
    </row>
    <row r="387" spans="5:7" x14ac:dyDescent="0.15">
      <c r="E387" s="13"/>
      <c r="F387" s="13"/>
      <c r="G387" s="13"/>
    </row>
    <row r="388" spans="5:7" x14ac:dyDescent="0.15">
      <c r="E388" s="13"/>
      <c r="F388" s="13"/>
      <c r="G388" s="13"/>
    </row>
    <row r="389" spans="5:7" x14ac:dyDescent="0.15">
      <c r="E389" s="13"/>
      <c r="F389" s="13"/>
      <c r="G389" s="13"/>
    </row>
    <row r="390" spans="5:7" x14ac:dyDescent="0.15">
      <c r="E390" s="13"/>
      <c r="F390" s="13"/>
      <c r="G390" s="13"/>
    </row>
    <row r="391" spans="5:7" x14ac:dyDescent="0.15">
      <c r="E391" s="13"/>
      <c r="F391" s="13"/>
      <c r="G391" s="13"/>
    </row>
    <row r="392" spans="5:7" x14ac:dyDescent="0.15">
      <c r="E392" s="13"/>
      <c r="F392" s="13"/>
      <c r="G392" s="13"/>
    </row>
    <row r="393" spans="5:7" x14ac:dyDescent="0.15">
      <c r="E393" s="13"/>
      <c r="F393" s="13"/>
      <c r="G393" s="13"/>
    </row>
    <row r="394" spans="5:7" x14ac:dyDescent="0.15">
      <c r="E394" s="13"/>
      <c r="F394" s="13"/>
      <c r="G394" s="13"/>
    </row>
    <row r="395" spans="5:7" x14ac:dyDescent="0.15">
      <c r="E395" s="13"/>
      <c r="F395" s="13"/>
      <c r="G395" s="13"/>
    </row>
    <row r="396" spans="5:7" x14ac:dyDescent="0.15">
      <c r="E396" s="13"/>
      <c r="F396" s="13"/>
      <c r="G396" s="13"/>
    </row>
    <row r="397" spans="5:7" x14ac:dyDescent="0.15">
      <c r="E397" s="13"/>
      <c r="F397" s="13"/>
      <c r="G397" s="13"/>
    </row>
  </sheetData>
  <mergeCells count="1129">
    <mergeCell ref="A1:F1"/>
    <mergeCell ref="G1:N1"/>
    <mergeCell ref="B150:B167"/>
    <mergeCell ref="A192:F192"/>
    <mergeCell ref="G192:N192"/>
    <mergeCell ref="A3:A4"/>
    <mergeCell ref="A9:A10"/>
    <mergeCell ref="A15:A16"/>
    <mergeCell ref="A24:A25"/>
    <mergeCell ref="A30:A31"/>
    <mergeCell ref="A36:A37"/>
    <mergeCell ref="A45:A46"/>
    <mergeCell ref="A51:A52"/>
    <mergeCell ref="A57:A58"/>
    <mergeCell ref="A78:A79"/>
    <mergeCell ref="B3:B20"/>
    <mergeCell ref="A5:A6"/>
    <mergeCell ref="A7:A8"/>
    <mergeCell ref="A160:A161"/>
    <mergeCell ref="A166:A167"/>
    <mergeCell ref="A175:A176"/>
    <mergeCell ref="A181:A182"/>
    <mergeCell ref="A187:A188"/>
    <mergeCell ref="A49:A50"/>
    <mergeCell ref="A53:A54"/>
    <mergeCell ref="A55:A56"/>
    <mergeCell ref="A59:A60"/>
    <mergeCell ref="A61:A62"/>
    <mergeCell ref="A66:A67"/>
    <mergeCell ref="A72:A73"/>
    <mergeCell ref="A13:A14"/>
    <mergeCell ref="A17:A18"/>
    <mergeCell ref="L3:L4"/>
    <mergeCell ref="M3:M4"/>
    <mergeCell ref="N3:N4"/>
    <mergeCell ref="G9:G10"/>
    <mergeCell ref="H9:H10"/>
    <mergeCell ref="I9:I10"/>
    <mergeCell ref="J9:J10"/>
    <mergeCell ref="K9:K10"/>
    <mergeCell ref="L9:L10"/>
    <mergeCell ref="M9:M10"/>
    <mergeCell ref="N9:N10"/>
    <mergeCell ref="G3:G4"/>
    <mergeCell ref="H3:H4"/>
    <mergeCell ref="I3:I4"/>
    <mergeCell ref="J3:J4"/>
    <mergeCell ref="K3:K4"/>
    <mergeCell ref="I7:I8"/>
    <mergeCell ref="J7:J8"/>
    <mergeCell ref="K7:K8"/>
    <mergeCell ref="L7:L8"/>
    <mergeCell ref="M7:M8"/>
    <mergeCell ref="N7:N8"/>
    <mergeCell ref="G5:G6"/>
    <mergeCell ref="H5:H6"/>
    <mergeCell ref="I5:I6"/>
    <mergeCell ref="J5:J6"/>
    <mergeCell ref="K5:K6"/>
    <mergeCell ref="L5:L6"/>
    <mergeCell ref="M5:M6"/>
    <mergeCell ref="N5:N6"/>
    <mergeCell ref="G7:G8"/>
    <mergeCell ref="H7:H8"/>
    <mergeCell ref="I17:I18"/>
    <mergeCell ref="J17:J18"/>
    <mergeCell ref="K17:K18"/>
    <mergeCell ref="L17:L18"/>
    <mergeCell ref="M17:M18"/>
    <mergeCell ref="N17:N18"/>
    <mergeCell ref="L28:L29"/>
    <mergeCell ref="M28:M29"/>
    <mergeCell ref="N28:N29"/>
    <mergeCell ref="G19:G20"/>
    <mergeCell ref="H19:H20"/>
    <mergeCell ref="I19:I20"/>
    <mergeCell ref="J19:J20"/>
    <mergeCell ref="K19:K20"/>
    <mergeCell ref="L19:L20"/>
    <mergeCell ref="M19:M20"/>
    <mergeCell ref="N19:N20"/>
    <mergeCell ref="G26:G27"/>
    <mergeCell ref="N51:N52"/>
    <mergeCell ref="L57:L58"/>
    <mergeCell ref="M57:M58"/>
    <mergeCell ref="N57:N58"/>
    <mergeCell ref="L66:L67"/>
    <mergeCell ref="M66:M67"/>
    <mergeCell ref="N66:N67"/>
    <mergeCell ref="K72:K73"/>
    <mergeCell ref="L72:L73"/>
    <mergeCell ref="G45:G46"/>
    <mergeCell ref="H45:H46"/>
    <mergeCell ref="I45:I46"/>
    <mergeCell ref="J45:J46"/>
    <mergeCell ref="K45:K46"/>
    <mergeCell ref="G32:G33"/>
    <mergeCell ref="H32:H33"/>
    <mergeCell ref="I32:I33"/>
    <mergeCell ref="L59:L60"/>
    <mergeCell ref="M59:M60"/>
    <mergeCell ref="N59:N60"/>
    <mergeCell ref="H51:H52"/>
    <mergeCell ref="I51:I52"/>
    <mergeCell ref="J51:J52"/>
    <mergeCell ref="G61:G62"/>
    <mergeCell ref="H61:H62"/>
    <mergeCell ref="I61:I62"/>
    <mergeCell ref="J61:J62"/>
    <mergeCell ref="K61:K62"/>
    <mergeCell ref="L61:L62"/>
    <mergeCell ref="M61:M62"/>
    <mergeCell ref="L51:L52"/>
    <mergeCell ref="M51:M52"/>
    <mergeCell ref="M47:M48"/>
    <mergeCell ref="N47:N48"/>
    <mergeCell ref="G49:G50"/>
    <mergeCell ref="I26:I27"/>
    <mergeCell ref="J26:J27"/>
    <mergeCell ref="L26:L27"/>
    <mergeCell ref="M26:M27"/>
    <mergeCell ref="N26:N27"/>
    <mergeCell ref="M49:M50"/>
    <mergeCell ref="N49:N50"/>
    <mergeCell ref="M32:M33"/>
    <mergeCell ref="N32:N33"/>
    <mergeCell ref="G38:G39"/>
    <mergeCell ref="H38:H39"/>
    <mergeCell ref="I38:I39"/>
    <mergeCell ref="J38:J39"/>
    <mergeCell ref="K38:K39"/>
    <mergeCell ref="L38:L39"/>
    <mergeCell ref="G30:G31"/>
    <mergeCell ref="H30:H31"/>
    <mergeCell ref="I30:I31"/>
    <mergeCell ref="J30:J31"/>
    <mergeCell ref="K30:K31"/>
    <mergeCell ref="H49:H50"/>
    <mergeCell ref="I49:I50"/>
    <mergeCell ref="J49:J50"/>
    <mergeCell ref="K49:K50"/>
    <mergeCell ref="L49:L50"/>
    <mergeCell ref="H26:H27"/>
    <mergeCell ref="B45:B62"/>
    <mergeCell ref="G66:G67"/>
    <mergeCell ref="G72:G73"/>
    <mergeCell ref="H66:H67"/>
    <mergeCell ref="I66:I67"/>
    <mergeCell ref="J66:J67"/>
    <mergeCell ref="K66:K67"/>
    <mergeCell ref="H72:H73"/>
    <mergeCell ref="I72:I73"/>
    <mergeCell ref="J72:J73"/>
    <mergeCell ref="K51:K52"/>
    <mergeCell ref="G51:G52"/>
    <mergeCell ref="L47:L48"/>
    <mergeCell ref="G53:G54"/>
    <mergeCell ref="H53:H54"/>
    <mergeCell ref="L78:L79"/>
    <mergeCell ref="M78:M79"/>
    <mergeCell ref="N78:N79"/>
    <mergeCell ref="H74:H75"/>
    <mergeCell ref="I74:I75"/>
    <mergeCell ref="J74:J75"/>
    <mergeCell ref="K74:K75"/>
    <mergeCell ref="L74:L75"/>
    <mergeCell ref="M74:M75"/>
    <mergeCell ref="N74:N75"/>
    <mergeCell ref="H76:H77"/>
    <mergeCell ref="I76:I77"/>
    <mergeCell ref="I53:I54"/>
    <mergeCell ref="J53:J54"/>
    <mergeCell ref="K53:K54"/>
    <mergeCell ref="G59:G60"/>
    <mergeCell ref="H59:H60"/>
    <mergeCell ref="H57:H58"/>
    <mergeCell ref="I57:I58"/>
    <mergeCell ref="J57:J58"/>
    <mergeCell ref="G57:G58"/>
    <mergeCell ref="H93:H94"/>
    <mergeCell ref="G114:G115"/>
    <mergeCell ref="H108:H109"/>
    <mergeCell ref="I108:I109"/>
    <mergeCell ref="J108:J109"/>
    <mergeCell ref="K108:K109"/>
    <mergeCell ref="L108:L109"/>
    <mergeCell ref="M108:M109"/>
    <mergeCell ref="N108:N109"/>
    <mergeCell ref="H99:H100"/>
    <mergeCell ref="I99:I100"/>
    <mergeCell ref="J99:J100"/>
    <mergeCell ref="K99:K100"/>
    <mergeCell ref="L99:L100"/>
    <mergeCell ref="L101:L102"/>
    <mergeCell ref="M101:M102"/>
    <mergeCell ref="N101:N102"/>
    <mergeCell ref="L93:L94"/>
    <mergeCell ref="M93:M94"/>
    <mergeCell ref="N93:N94"/>
    <mergeCell ref="L103:L104"/>
    <mergeCell ref="M103:M104"/>
    <mergeCell ref="N103:N104"/>
    <mergeCell ref="H95:H96"/>
    <mergeCell ref="I95:I96"/>
    <mergeCell ref="J95:J96"/>
    <mergeCell ref="K95:K96"/>
    <mergeCell ref="L95:L96"/>
    <mergeCell ref="M95:M96"/>
    <mergeCell ref="N95:N96"/>
    <mergeCell ref="H97:H98"/>
    <mergeCell ref="I97:I98"/>
    <mergeCell ref="A129:A130"/>
    <mergeCell ref="A139:A140"/>
    <mergeCell ref="A145:A146"/>
    <mergeCell ref="A154:A155"/>
    <mergeCell ref="A87:A88"/>
    <mergeCell ref="A93:A94"/>
    <mergeCell ref="A99:A100"/>
    <mergeCell ref="A108:A109"/>
    <mergeCell ref="A114:A115"/>
    <mergeCell ref="A110:A111"/>
    <mergeCell ref="A112:A113"/>
    <mergeCell ref="A116:A117"/>
    <mergeCell ref="A118:A119"/>
    <mergeCell ref="A120:A121"/>
    <mergeCell ref="A122:A123"/>
    <mergeCell ref="G118:G119"/>
    <mergeCell ref="G122:G123"/>
    <mergeCell ref="A135:A136"/>
    <mergeCell ref="A137:A138"/>
    <mergeCell ref="A141:A142"/>
    <mergeCell ref="A89:A90"/>
    <mergeCell ref="A91:A92"/>
    <mergeCell ref="A95:A96"/>
    <mergeCell ref="A97:A98"/>
    <mergeCell ref="B87:B104"/>
    <mergeCell ref="A103:A104"/>
    <mergeCell ref="G108:G109"/>
    <mergeCell ref="G129:G130"/>
    <mergeCell ref="A101:A102"/>
    <mergeCell ref="G95:G96"/>
    <mergeCell ref="G97:G98"/>
    <mergeCell ref="H139:H140"/>
    <mergeCell ref="I139:I140"/>
    <mergeCell ref="J139:J140"/>
    <mergeCell ref="K139:K140"/>
    <mergeCell ref="G74:G75"/>
    <mergeCell ref="G76:G77"/>
    <mergeCell ref="J76:J77"/>
    <mergeCell ref="K76:K77"/>
    <mergeCell ref="H78:H79"/>
    <mergeCell ref="I78:I79"/>
    <mergeCell ref="J78:J79"/>
    <mergeCell ref="K78:K79"/>
    <mergeCell ref="I93:I94"/>
    <mergeCell ref="J93:J94"/>
    <mergeCell ref="K93:K94"/>
    <mergeCell ref="I116:I117"/>
    <mergeCell ref="K133:K134"/>
    <mergeCell ref="K87:K88"/>
    <mergeCell ref="G110:G111"/>
    <mergeCell ref="G116:G117"/>
    <mergeCell ref="G124:G125"/>
    <mergeCell ref="G120:G121"/>
    <mergeCell ref="H120:H121"/>
    <mergeCell ref="I120:I121"/>
    <mergeCell ref="J120:J121"/>
    <mergeCell ref="K120:K121"/>
    <mergeCell ref="H87:H88"/>
    <mergeCell ref="I87:I88"/>
    <mergeCell ref="J87:J88"/>
    <mergeCell ref="G93:G94"/>
    <mergeCell ref="G99:G100"/>
    <mergeCell ref="K80:K81"/>
    <mergeCell ref="H129:H130"/>
    <mergeCell ref="I129:I130"/>
    <mergeCell ref="J129:J130"/>
    <mergeCell ref="K129:K130"/>
    <mergeCell ref="L129:L130"/>
    <mergeCell ref="M114:M115"/>
    <mergeCell ref="N114:N115"/>
    <mergeCell ref="H124:H125"/>
    <mergeCell ref="I124:I125"/>
    <mergeCell ref="J124:J125"/>
    <mergeCell ref="K124:K125"/>
    <mergeCell ref="M124:M125"/>
    <mergeCell ref="N124:N125"/>
    <mergeCell ref="H114:H115"/>
    <mergeCell ref="I114:I115"/>
    <mergeCell ref="J114:J115"/>
    <mergeCell ref="K114:K115"/>
    <mergeCell ref="L114:L115"/>
    <mergeCell ref="H116:H117"/>
    <mergeCell ref="I118:I119"/>
    <mergeCell ref="L120:L121"/>
    <mergeCell ref="M120:M121"/>
    <mergeCell ref="N120:N121"/>
    <mergeCell ref="M129:M130"/>
    <mergeCell ref="N129:N130"/>
    <mergeCell ref="L124:L125"/>
    <mergeCell ref="G166:G167"/>
    <mergeCell ref="H166:H167"/>
    <mergeCell ref="I166:I167"/>
    <mergeCell ref="J166:J167"/>
    <mergeCell ref="H160:H161"/>
    <mergeCell ref="I160:I161"/>
    <mergeCell ref="J160:J161"/>
    <mergeCell ref="L160:L161"/>
    <mergeCell ref="M145:M146"/>
    <mergeCell ref="N145:N146"/>
    <mergeCell ref="H154:H155"/>
    <mergeCell ref="I154:I155"/>
    <mergeCell ref="J154:J155"/>
    <mergeCell ref="K154:K155"/>
    <mergeCell ref="L154:L155"/>
    <mergeCell ref="M154:M155"/>
    <mergeCell ref="N154:N155"/>
    <mergeCell ref="H145:H146"/>
    <mergeCell ref="I145:I146"/>
    <mergeCell ref="G160:G161"/>
    <mergeCell ref="K160:K161"/>
    <mergeCell ref="G145:G146"/>
    <mergeCell ref="G154:G155"/>
    <mergeCell ref="M150:M151"/>
    <mergeCell ref="N150:N151"/>
    <mergeCell ref="G152:G153"/>
    <mergeCell ref="H152:H153"/>
    <mergeCell ref="I152:I153"/>
    <mergeCell ref="J152:J153"/>
    <mergeCell ref="K152:K153"/>
    <mergeCell ref="L152:L153"/>
    <mergeCell ref="M152:M153"/>
    <mergeCell ref="M194:M195"/>
    <mergeCell ref="N194:N195"/>
    <mergeCell ref="A207:A208"/>
    <mergeCell ref="G207:G208"/>
    <mergeCell ref="H207:H208"/>
    <mergeCell ref="L181:L182"/>
    <mergeCell ref="M181:M182"/>
    <mergeCell ref="N181:N182"/>
    <mergeCell ref="G187:G188"/>
    <mergeCell ref="H187:H188"/>
    <mergeCell ref="I187:I188"/>
    <mergeCell ref="J187:J188"/>
    <mergeCell ref="K187:K188"/>
    <mergeCell ref="L187:L188"/>
    <mergeCell ref="M187:M188"/>
    <mergeCell ref="N187:N188"/>
    <mergeCell ref="G181:G182"/>
    <mergeCell ref="H181:H182"/>
    <mergeCell ref="I181:I182"/>
    <mergeCell ref="J181:J182"/>
    <mergeCell ref="K181:K182"/>
    <mergeCell ref="A205:A206"/>
    <mergeCell ref="I200:I201"/>
    <mergeCell ref="M200:M201"/>
    <mergeCell ref="N200:N201"/>
    <mergeCell ref="M196:M197"/>
    <mergeCell ref="N196:N197"/>
    <mergeCell ref="A194:A195"/>
    <mergeCell ref="G194:G195"/>
    <mergeCell ref="H194:H195"/>
    <mergeCell ref="I194:I195"/>
    <mergeCell ref="J194:J195"/>
    <mergeCell ref="K194:K195"/>
    <mergeCell ref="L194:L195"/>
    <mergeCell ref="A196:A197"/>
    <mergeCell ref="A198:A199"/>
    <mergeCell ref="I196:I197"/>
    <mergeCell ref="J196:J197"/>
    <mergeCell ref="K196:K197"/>
    <mergeCell ref="L196:L197"/>
    <mergeCell ref="K200:K201"/>
    <mergeCell ref="L200:L201"/>
    <mergeCell ref="N198:N199"/>
    <mergeCell ref="B194:B201"/>
    <mergeCell ref="B205:B212"/>
    <mergeCell ref="A200:A201"/>
    <mergeCell ref="I205:I206"/>
    <mergeCell ref="J205:J206"/>
    <mergeCell ref="A240:A241"/>
    <mergeCell ref="G240:G241"/>
    <mergeCell ref="N207:N208"/>
    <mergeCell ref="A216:A217"/>
    <mergeCell ref="G216:G217"/>
    <mergeCell ref="H216:H217"/>
    <mergeCell ref="I216:I217"/>
    <mergeCell ref="J216:J217"/>
    <mergeCell ref="K216:K217"/>
    <mergeCell ref="L216:L217"/>
    <mergeCell ref="M216:M217"/>
    <mergeCell ref="N216:N217"/>
    <mergeCell ref="I207:I208"/>
    <mergeCell ref="J207:J208"/>
    <mergeCell ref="K207:K208"/>
    <mergeCell ref="L207:L208"/>
    <mergeCell ref="A209:A210"/>
    <mergeCell ref="A211:A212"/>
    <mergeCell ref="N240:N241"/>
    <mergeCell ref="N222:N223"/>
    <mergeCell ref="A231:A232"/>
    <mergeCell ref="G231:G232"/>
    <mergeCell ref="H231:H232"/>
    <mergeCell ref="M205:M206"/>
    <mergeCell ref="N205:N206"/>
    <mergeCell ref="I222:I223"/>
    <mergeCell ref="J222:J223"/>
    <mergeCell ref="K222:K223"/>
    <mergeCell ref="L222:L223"/>
    <mergeCell ref="I220:I221"/>
    <mergeCell ref="J220:J221"/>
    <mergeCell ref="K220:K221"/>
    <mergeCell ref="A222:A223"/>
    <mergeCell ref="I238:I239"/>
    <mergeCell ref="J238:J239"/>
    <mergeCell ref="K238:K239"/>
    <mergeCell ref="L238:L239"/>
    <mergeCell ref="M238:M239"/>
    <mergeCell ref="N238:N239"/>
    <mergeCell ref="I227:I228"/>
    <mergeCell ref="J227:J228"/>
    <mergeCell ref="K227:K228"/>
    <mergeCell ref="L227:L228"/>
    <mergeCell ref="M227:M228"/>
    <mergeCell ref="N227:N228"/>
    <mergeCell ref="G229:G230"/>
    <mergeCell ref="H229:H230"/>
    <mergeCell ref="I229:I230"/>
    <mergeCell ref="K249:K250"/>
    <mergeCell ref="L249:L250"/>
    <mergeCell ref="M249:M250"/>
    <mergeCell ref="N249:N250"/>
    <mergeCell ref="A255:A256"/>
    <mergeCell ref="G255:G256"/>
    <mergeCell ref="H255:H256"/>
    <mergeCell ref="I240:I241"/>
    <mergeCell ref="J240:J241"/>
    <mergeCell ref="K240:K241"/>
    <mergeCell ref="L240:L241"/>
    <mergeCell ref="M240:M241"/>
    <mergeCell ref="H240:H241"/>
    <mergeCell ref="N255:N256"/>
    <mergeCell ref="I255:I256"/>
    <mergeCell ref="J255:J256"/>
    <mergeCell ref="K255:K256"/>
    <mergeCell ref="L255:L256"/>
    <mergeCell ref="M255:M256"/>
    <mergeCell ref="I251:I252"/>
    <mergeCell ref="I253:I254"/>
    <mergeCell ref="J253:J254"/>
    <mergeCell ref="K253:K254"/>
    <mergeCell ref="A282:A283"/>
    <mergeCell ref="G282:G283"/>
    <mergeCell ref="H282:H283"/>
    <mergeCell ref="I282:I283"/>
    <mergeCell ref="I273:I274"/>
    <mergeCell ref="J273:J274"/>
    <mergeCell ref="K273:K274"/>
    <mergeCell ref="L273:L274"/>
    <mergeCell ref="M273:M274"/>
    <mergeCell ref="A273:A274"/>
    <mergeCell ref="G264:G265"/>
    <mergeCell ref="H264:H265"/>
    <mergeCell ref="I264:I265"/>
    <mergeCell ref="J264:J265"/>
    <mergeCell ref="K264:K265"/>
    <mergeCell ref="L264:L265"/>
    <mergeCell ref="M264:M265"/>
    <mergeCell ref="A275:A276"/>
    <mergeCell ref="A277:A278"/>
    <mergeCell ref="G277:G278"/>
    <mergeCell ref="H277:H278"/>
    <mergeCell ref="I277:I278"/>
    <mergeCell ref="J277:J278"/>
    <mergeCell ref="K277:K278"/>
    <mergeCell ref="L277:L278"/>
    <mergeCell ref="G275:G276"/>
    <mergeCell ref="H275:H276"/>
    <mergeCell ref="I275:I276"/>
    <mergeCell ref="J275:J276"/>
    <mergeCell ref="K275:K276"/>
    <mergeCell ref="M282:M283"/>
    <mergeCell ref="A264:A265"/>
    <mergeCell ref="B282:B289"/>
    <mergeCell ref="G288:G289"/>
    <mergeCell ref="N288:N289"/>
    <mergeCell ref="I288:I289"/>
    <mergeCell ref="J288:J289"/>
    <mergeCell ref="K288:K289"/>
    <mergeCell ref="N266:N267"/>
    <mergeCell ref="G271:G272"/>
    <mergeCell ref="H271:H272"/>
    <mergeCell ref="I271:I272"/>
    <mergeCell ref="J271:J272"/>
    <mergeCell ref="K271:K272"/>
    <mergeCell ref="L271:L272"/>
    <mergeCell ref="M271:M272"/>
    <mergeCell ref="N271:N272"/>
    <mergeCell ref="G286:G287"/>
    <mergeCell ref="H286:H287"/>
    <mergeCell ref="I286:I287"/>
    <mergeCell ref="J286:J287"/>
    <mergeCell ref="K286:K287"/>
    <mergeCell ref="L286:L287"/>
    <mergeCell ref="N273:N274"/>
    <mergeCell ref="M286:M287"/>
    <mergeCell ref="N286:N287"/>
    <mergeCell ref="L275:L276"/>
    <mergeCell ref="M275:M276"/>
    <mergeCell ref="N275:N276"/>
    <mergeCell ref="G266:G267"/>
    <mergeCell ref="H266:H267"/>
    <mergeCell ref="A227:A228"/>
    <mergeCell ref="A229:A230"/>
    <mergeCell ref="A233:A234"/>
    <mergeCell ref="A238:A239"/>
    <mergeCell ref="B216:B223"/>
    <mergeCell ref="B227:B234"/>
    <mergeCell ref="B238:B245"/>
    <mergeCell ref="A266:A267"/>
    <mergeCell ref="A271:A272"/>
    <mergeCell ref="B260:B267"/>
    <mergeCell ref="B271:B278"/>
    <mergeCell ref="N218:N219"/>
    <mergeCell ref="N233:N234"/>
    <mergeCell ref="M222:M223"/>
    <mergeCell ref="G227:G228"/>
    <mergeCell ref="H227:H228"/>
    <mergeCell ref="G233:G234"/>
    <mergeCell ref="H233:H234"/>
    <mergeCell ref="I231:I232"/>
    <mergeCell ref="J231:J232"/>
    <mergeCell ref="K231:K232"/>
    <mergeCell ref="G222:G223"/>
    <mergeCell ref="H222:H223"/>
    <mergeCell ref="K260:K261"/>
    <mergeCell ref="L260:L261"/>
    <mergeCell ref="M260:M261"/>
    <mergeCell ref="M277:M278"/>
    <mergeCell ref="B249:B256"/>
    <mergeCell ref="N264:N265"/>
    <mergeCell ref="A249:A250"/>
    <mergeCell ref="G249:G250"/>
    <mergeCell ref="H249:H250"/>
    <mergeCell ref="L288:L289"/>
    <mergeCell ref="M288:M289"/>
    <mergeCell ref="H288:H289"/>
    <mergeCell ref="G273:G274"/>
    <mergeCell ref="H273:H274"/>
    <mergeCell ref="A288:A289"/>
    <mergeCell ref="G198:G199"/>
    <mergeCell ref="H198:H199"/>
    <mergeCell ref="I198:I199"/>
    <mergeCell ref="J198:J199"/>
    <mergeCell ref="K198:K199"/>
    <mergeCell ref="L198:L199"/>
    <mergeCell ref="M198:M199"/>
    <mergeCell ref="J200:J201"/>
    <mergeCell ref="I218:I219"/>
    <mergeCell ref="J218:J219"/>
    <mergeCell ref="K218:K219"/>
    <mergeCell ref="L218:L219"/>
    <mergeCell ref="M218:M219"/>
    <mergeCell ref="I233:I234"/>
    <mergeCell ref="J233:J234"/>
    <mergeCell ref="K233:K234"/>
    <mergeCell ref="L233:L234"/>
    <mergeCell ref="M233:M234"/>
    <mergeCell ref="L253:L254"/>
    <mergeCell ref="M253:M254"/>
    <mergeCell ref="I260:I261"/>
    <mergeCell ref="J260:J261"/>
    <mergeCell ref="A242:A243"/>
    <mergeCell ref="A244:A245"/>
    <mergeCell ref="A251:A252"/>
    <mergeCell ref="A253:A254"/>
    <mergeCell ref="L205:L206"/>
    <mergeCell ref="L220:L221"/>
    <mergeCell ref="M220:M221"/>
    <mergeCell ref="N220:N221"/>
    <mergeCell ref="M209:M210"/>
    <mergeCell ref="N209:N210"/>
    <mergeCell ref="G211:G212"/>
    <mergeCell ref="H211:H212"/>
    <mergeCell ref="I211:I212"/>
    <mergeCell ref="J211:J212"/>
    <mergeCell ref="K211:K212"/>
    <mergeCell ref="L211:L212"/>
    <mergeCell ref="M211:M212"/>
    <mergeCell ref="N211:N212"/>
    <mergeCell ref="I209:I210"/>
    <mergeCell ref="J209:J210"/>
    <mergeCell ref="K209:K210"/>
    <mergeCell ref="L209:L210"/>
    <mergeCell ref="G220:G221"/>
    <mergeCell ref="H220:H221"/>
    <mergeCell ref="M207:M208"/>
    <mergeCell ref="L229:L230"/>
    <mergeCell ref="M229:M230"/>
    <mergeCell ref="N229:N230"/>
    <mergeCell ref="M231:M232"/>
    <mergeCell ref="N231:N232"/>
    <mergeCell ref="G238:G239"/>
    <mergeCell ref="H238:H239"/>
    <mergeCell ref="L231:L232"/>
    <mergeCell ref="N253:N254"/>
    <mergeCell ref="I242:I243"/>
    <mergeCell ref="J242:J243"/>
    <mergeCell ref="K242:K243"/>
    <mergeCell ref="L242:L243"/>
    <mergeCell ref="M242:M243"/>
    <mergeCell ref="N242:N243"/>
    <mergeCell ref="G244:G245"/>
    <mergeCell ref="H244:H245"/>
    <mergeCell ref="I244:I245"/>
    <mergeCell ref="J244:J245"/>
    <mergeCell ref="K244:K245"/>
    <mergeCell ref="L244:L245"/>
    <mergeCell ref="M244:M245"/>
    <mergeCell ref="N244:N245"/>
    <mergeCell ref="G242:G243"/>
    <mergeCell ref="H242:H243"/>
    <mergeCell ref="G251:G252"/>
    <mergeCell ref="H251:H252"/>
    <mergeCell ref="G253:G254"/>
    <mergeCell ref="H253:H254"/>
    <mergeCell ref="J251:J252"/>
    <mergeCell ref="I249:I250"/>
    <mergeCell ref="J249:J250"/>
    <mergeCell ref="L251:L252"/>
    <mergeCell ref="M251:M252"/>
    <mergeCell ref="N251:N252"/>
    <mergeCell ref="N260:N261"/>
    <mergeCell ref="G262:G263"/>
    <mergeCell ref="H262:H263"/>
    <mergeCell ref="I262:I263"/>
    <mergeCell ref="J262:J263"/>
    <mergeCell ref="K262:K263"/>
    <mergeCell ref="L262:L263"/>
    <mergeCell ref="M262:M263"/>
    <mergeCell ref="N262:N263"/>
    <mergeCell ref="G284:G285"/>
    <mergeCell ref="H284:H285"/>
    <mergeCell ref="I284:I285"/>
    <mergeCell ref="J284:J285"/>
    <mergeCell ref="K284:K285"/>
    <mergeCell ref="L284:L285"/>
    <mergeCell ref="M284:M285"/>
    <mergeCell ref="N284:N285"/>
    <mergeCell ref="G260:G261"/>
    <mergeCell ref="H260:H261"/>
    <mergeCell ref="I266:I267"/>
    <mergeCell ref="J266:J267"/>
    <mergeCell ref="K266:K267"/>
    <mergeCell ref="L266:L267"/>
    <mergeCell ref="M266:M267"/>
    <mergeCell ref="J282:J283"/>
    <mergeCell ref="K282:K283"/>
    <mergeCell ref="L282:L283"/>
    <mergeCell ref="N282:N283"/>
    <mergeCell ref="N277:N278"/>
    <mergeCell ref="G47:G48"/>
    <mergeCell ref="H47:H48"/>
    <mergeCell ref="I47:I48"/>
    <mergeCell ref="J47:J48"/>
    <mergeCell ref="K47:K48"/>
    <mergeCell ref="A47:A48"/>
    <mergeCell ref="K26:K27"/>
    <mergeCell ref="G36:G37"/>
    <mergeCell ref="H36:H37"/>
    <mergeCell ref="I36:I37"/>
    <mergeCell ref="J36:J37"/>
    <mergeCell ref="K36:K37"/>
    <mergeCell ref="A11:A12"/>
    <mergeCell ref="I28:I29"/>
    <mergeCell ref="J28:J29"/>
    <mergeCell ref="K28:K29"/>
    <mergeCell ref="K251:K252"/>
    <mergeCell ref="J229:J230"/>
    <mergeCell ref="K229:K230"/>
    <mergeCell ref="G200:G201"/>
    <mergeCell ref="H200:H201"/>
    <mergeCell ref="G209:G210"/>
    <mergeCell ref="H209:H210"/>
    <mergeCell ref="G218:G219"/>
    <mergeCell ref="H218:H219"/>
    <mergeCell ref="G205:G206"/>
    <mergeCell ref="H205:H206"/>
    <mergeCell ref="K205:K206"/>
    <mergeCell ref="G196:G197"/>
    <mergeCell ref="H196:H197"/>
    <mergeCell ref="A218:A219"/>
    <mergeCell ref="A220:A221"/>
    <mergeCell ref="L15:L16"/>
    <mergeCell ref="M15:M16"/>
    <mergeCell ref="N15:N16"/>
    <mergeCell ref="G24:G25"/>
    <mergeCell ref="G28:G29"/>
    <mergeCell ref="H28:H29"/>
    <mergeCell ref="A19:A20"/>
    <mergeCell ref="B24:B41"/>
    <mergeCell ref="A26:A27"/>
    <mergeCell ref="A28:A29"/>
    <mergeCell ref="A32:A33"/>
    <mergeCell ref="A34:A35"/>
    <mergeCell ref="A38:A39"/>
    <mergeCell ref="A40:A41"/>
    <mergeCell ref="G11:G12"/>
    <mergeCell ref="H11:H12"/>
    <mergeCell ref="I11:I12"/>
    <mergeCell ref="J11:J12"/>
    <mergeCell ref="K11:K12"/>
    <mergeCell ref="H24:H25"/>
    <mergeCell ref="I24:I25"/>
    <mergeCell ref="J24:J25"/>
    <mergeCell ref="K24:K25"/>
    <mergeCell ref="M24:M25"/>
    <mergeCell ref="N24:N25"/>
    <mergeCell ref="G15:G16"/>
    <mergeCell ref="H15:H16"/>
    <mergeCell ref="I15:I16"/>
    <mergeCell ref="J15:J16"/>
    <mergeCell ref="K15:K16"/>
    <mergeCell ref="G17:G18"/>
    <mergeCell ref="H17:H18"/>
    <mergeCell ref="M55:M56"/>
    <mergeCell ref="N55:N56"/>
    <mergeCell ref="K57:K58"/>
    <mergeCell ref="I59:I60"/>
    <mergeCell ref="J59:J60"/>
    <mergeCell ref="K59:K60"/>
    <mergeCell ref="L11:L12"/>
    <mergeCell ref="M11:M12"/>
    <mergeCell ref="N11:N12"/>
    <mergeCell ref="G13:G14"/>
    <mergeCell ref="H13:H14"/>
    <mergeCell ref="I13:I14"/>
    <mergeCell ref="J13:J14"/>
    <mergeCell ref="K13:K14"/>
    <mergeCell ref="L13:L14"/>
    <mergeCell ref="M13:M14"/>
    <mergeCell ref="N13:N14"/>
    <mergeCell ref="L45:L46"/>
    <mergeCell ref="M45:M46"/>
    <mergeCell ref="N45:N46"/>
    <mergeCell ref="G34:G35"/>
    <mergeCell ref="H34:H35"/>
    <mergeCell ref="I34:I35"/>
    <mergeCell ref="J34:J35"/>
    <mergeCell ref="K34:K35"/>
    <mergeCell ref="L34:L35"/>
    <mergeCell ref="M34:M35"/>
    <mergeCell ref="N34:N35"/>
    <mergeCell ref="L30:L31"/>
    <mergeCell ref="M30:M31"/>
    <mergeCell ref="N30:N31"/>
    <mergeCell ref="L36:L37"/>
    <mergeCell ref="G78:G79"/>
    <mergeCell ref="G87:G88"/>
    <mergeCell ref="G80:G81"/>
    <mergeCell ref="H80:H81"/>
    <mergeCell ref="I80:I81"/>
    <mergeCell ref="J80:J81"/>
    <mergeCell ref="L24:L25"/>
    <mergeCell ref="L32:L33"/>
    <mergeCell ref="M38:M39"/>
    <mergeCell ref="N38:N39"/>
    <mergeCell ref="G40:G41"/>
    <mergeCell ref="H40:H41"/>
    <mergeCell ref="I40:I41"/>
    <mergeCell ref="J40:J41"/>
    <mergeCell ref="K40:K41"/>
    <mergeCell ref="L40:L41"/>
    <mergeCell ref="M40:M41"/>
    <mergeCell ref="N40:N41"/>
    <mergeCell ref="M36:M37"/>
    <mergeCell ref="N36:N37"/>
    <mergeCell ref="J32:J33"/>
    <mergeCell ref="K32:K33"/>
    <mergeCell ref="N61:N62"/>
    <mergeCell ref="L53:L54"/>
    <mergeCell ref="M53:M54"/>
    <mergeCell ref="N53:N54"/>
    <mergeCell ref="G55:G56"/>
    <mergeCell ref="H55:H56"/>
    <mergeCell ref="I55:I56"/>
    <mergeCell ref="J55:J56"/>
    <mergeCell ref="K55:K56"/>
    <mergeCell ref="L55:L56"/>
    <mergeCell ref="L76:L77"/>
    <mergeCell ref="M76:M77"/>
    <mergeCell ref="N76:N77"/>
    <mergeCell ref="G68:G69"/>
    <mergeCell ref="H68:H69"/>
    <mergeCell ref="I68:I69"/>
    <mergeCell ref="J68:J69"/>
    <mergeCell ref="K68:K69"/>
    <mergeCell ref="L68:L69"/>
    <mergeCell ref="M68:M69"/>
    <mergeCell ref="N68:N69"/>
    <mergeCell ref="G70:G71"/>
    <mergeCell ref="H70:H71"/>
    <mergeCell ref="I70:I71"/>
    <mergeCell ref="J70:J71"/>
    <mergeCell ref="K70:K71"/>
    <mergeCell ref="L70:L71"/>
    <mergeCell ref="M70:M71"/>
    <mergeCell ref="N70:N71"/>
    <mergeCell ref="M72:M73"/>
    <mergeCell ref="N72:N73"/>
    <mergeCell ref="L80:L81"/>
    <mergeCell ref="M80:M81"/>
    <mergeCell ref="N80:N81"/>
    <mergeCell ref="G82:G83"/>
    <mergeCell ref="H82:H83"/>
    <mergeCell ref="I82:I83"/>
    <mergeCell ref="J82:J83"/>
    <mergeCell ref="K82:K83"/>
    <mergeCell ref="L82:L83"/>
    <mergeCell ref="M82:M83"/>
    <mergeCell ref="N82:N83"/>
    <mergeCell ref="L87:L88"/>
    <mergeCell ref="K89:K90"/>
    <mergeCell ref="L89:L90"/>
    <mergeCell ref="M89:M90"/>
    <mergeCell ref="N89:N90"/>
    <mergeCell ref="K91:K92"/>
    <mergeCell ref="L91:L92"/>
    <mergeCell ref="M91:M92"/>
    <mergeCell ref="M87:M88"/>
    <mergeCell ref="N87:N88"/>
    <mergeCell ref="N91:N92"/>
    <mergeCell ref="G89:G90"/>
    <mergeCell ref="H89:H90"/>
    <mergeCell ref="I89:I90"/>
    <mergeCell ref="J89:J90"/>
    <mergeCell ref="G91:G92"/>
    <mergeCell ref="H91:H92"/>
    <mergeCell ref="I91:I92"/>
    <mergeCell ref="J91:J92"/>
    <mergeCell ref="J97:J98"/>
    <mergeCell ref="K97:K98"/>
    <mergeCell ref="L97:L98"/>
    <mergeCell ref="M97:M98"/>
    <mergeCell ref="N97:N98"/>
    <mergeCell ref="M99:M100"/>
    <mergeCell ref="N99:N100"/>
    <mergeCell ref="G101:G102"/>
    <mergeCell ref="H101:H102"/>
    <mergeCell ref="I101:I102"/>
    <mergeCell ref="J101:J102"/>
    <mergeCell ref="K101:K102"/>
    <mergeCell ref="G103:G104"/>
    <mergeCell ref="H103:H104"/>
    <mergeCell ref="I103:I104"/>
    <mergeCell ref="J103:J104"/>
    <mergeCell ref="K103:K104"/>
    <mergeCell ref="H110:H111"/>
    <mergeCell ref="I110:I111"/>
    <mergeCell ref="J110:J111"/>
    <mergeCell ref="K110:K111"/>
    <mergeCell ref="L110:L111"/>
    <mergeCell ref="M110:M111"/>
    <mergeCell ref="N110:N111"/>
    <mergeCell ref="G112:G113"/>
    <mergeCell ref="H112:H113"/>
    <mergeCell ref="I112:I113"/>
    <mergeCell ref="J112:J113"/>
    <mergeCell ref="K112:K113"/>
    <mergeCell ref="L112:L113"/>
    <mergeCell ref="M112:M113"/>
    <mergeCell ref="N112:N113"/>
    <mergeCell ref="J118:J119"/>
    <mergeCell ref="L118:L119"/>
    <mergeCell ref="M118:M119"/>
    <mergeCell ref="M116:M117"/>
    <mergeCell ref="N116:N117"/>
    <mergeCell ref="H118:H119"/>
    <mergeCell ref="L116:L117"/>
    <mergeCell ref="J116:J117"/>
    <mergeCell ref="K116:K117"/>
    <mergeCell ref="K118:K119"/>
    <mergeCell ref="N118:N119"/>
    <mergeCell ref="A162:A163"/>
    <mergeCell ref="A164:A165"/>
    <mergeCell ref="H122:H123"/>
    <mergeCell ref="I122:I123"/>
    <mergeCell ref="J122:J123"/>
    <mergeCell ref="K122:K123"/>
    <mergeCell ref="L122:L123"/>
    <mergeCell ref="M122:M123"/>
    <mergeCell ref="N122:N123"/>
    <mergeCell ref="A131:A132"/>
    <mergeCell ref="A133:A134"/>
    <mergeCell ref="G131:G132"/>
    <mergeCell ref="H131:H132"/>
    <mergeCell ref="I131:I132"/>
    <mergeCell ref="J131:J132"/>
    <mergeCell ref="K131:K132"/>
    <mergeCell ref="L131:L132"/>
    <mergeCell ref="M131:M132"/>
    <mergeCell ref="N131:N132"/>
    <mergeCell ref="G133:G134"/>
    <mergeCell ref="H133:H134"/>
    <mergeCell ref="I133:I134"/>
    <mergeCell ref="J133:J134"/>
    <mergeCell ref="G141:G142"/>
    <mergeCell ref="H141:H142"/>
    <mergeCell ref="I141:I142"/>
    <mergeCell ref="J141:J142"/>
    <mergeCell ref="K141:K142"/>
    <mergeCell ref="M160:M161"/>
    <mergeCell ref="N160:N161"/>
    <mergeCell ref="B108:B125"/>
    <mergeCell ref="B129:B146"/>
    <mergeCell ref="I143:I144"/>
    <mergeCell ref="J143:J144"/>
    <mergeCell ref="K143:K144"/>
    <mergeCell ref="L143:L144"/>
    <mergeCell ref="M143:M144"/>
    <mergeCell ref="N143:N144"/>
    <mergeCell ref="L139:L140"/>
    <mergeCell ref="M139:M140"/>
    <mergeCell ref="N139:N140"/>
    <mergeCell ref="I137:I138"/>
    <mergeCell ref="J137:J138"/>
    <mergeCell ref="K137:K138"/>
    <mergeCell ref="L137:L138"/>
    <mergeCell ref="A150:A151"/>
    <mergeCell ref="A152:A153"/>
    <mergeCell ref="A156:A157"/>
    <mergeCell ref="A158:A159"/>
    <mergeCell ref="G139:G140"/>
    <mergeCell ref="G158:G159"/>
    <mergeCell ref="H158:H159"/>
    <mergeCell ref="I158:I159"/>
    <mergeCell ref="J158:J159"/>
    <mergeCell ref="K158:K159"/>
    <mergeCell ref="L158:L159"/>
    <mergeCell ref="M158:M159"/>
    <mergeCell ref="N158:N159"/>
    <mergeCell ref="G150:G151"/>
    <mergeCell ref="H150:H151"/>
    <mergeCell ref="I150:I151"/>
    <mergeCell ref="J150:J151"/>
    <mergeCell ref="K150:K151"/>
    <mergeCell ref="L150:L151"/>
    <mergeCell ref="L133:L134"/>
    <mergeCell ref="M133:M134"/>
    <mergeCell ref="N133:N134"/>
    <mergeCell ref="M137:M138"/>
    <mergeCell ref="N137:N138"/>
    <mergeCell ref="A143:A144"/>
    <mergeCell ref="G135:G136"/>
    <mergeCell ref="H135:H136"/>
    <mergeCell ref="I135:I136"/>
    <mergeCell ref="J135:J136"/>
    <mergeCell ref="K135:K136"/>
    <mergeCell ref="L135:L136"/>
    <mergeCell ref="M135:M136"/>
    <mergeCell ref="N135:N136"/>
    <mergeCell ref="G137:G138"/>
    <mergeCell ref="H137:H138"/>
    <mergeCell ref="G156:G157"/>
    <mergeCell ref="H156:H157"/>
    <mergeCell ref="I156:I157"/>
    <mergeCell ref="J156:J157"/>
    <mergeCell ref="K156:K157"/>
    <mergeCell ref="L156:L157"/>
    <mergeCell ref="M156:M157"/>
    <mergeCell ref="N156:N157"/>
    <mergeCell ref="K145:K146"/>
    <mergeCell ref="L145:L146"/>
    <mergeCell ref="J145:J146"/>
    <mergeCell ref="L141:L142"/>
    <mergeCell ref="M141:M142"/>
    <mergeCell ref="N141:N142"/>
    <mergeCell ref="G143:G144"/>
    <mergeCell ref="H143:H144"/>
    <mergeCell ref="N152:N153"/>
    <mergeCell ref="A179:A180"/>
    <mergeCell ref="A183:A184"/>
    <mergeCell ref="A185:A186"/>
    <mergeCell ref="B171:B188"/>
    <mergeCell ref="G162:G163"/>
    <mergeCell ref="H162:H163"/>
    <mergeCell ref="I162:I163"/>
    <mergeCell ref="J162:J163"/>
    <mergeCell ref="K162:K163"/>
    <mergeCell ref="L162:L163"/>
    <mergeCell ref="M162:M163"/>
    <mergeCell ref="N162:N163"/>
    <mergeCell ref="G164:G165"/>
    <mergeCell ref="H164:H165"/>
    <mergeCell ref="I164:I165"/>
    <mergeCell ref="J164:J165"/>
    <mergeCell ref="K164:K165"/>
    <mergeCell ref="L164:L165"/>
    <mergeCell ref="M164:M165"/>
    <mergeCell ref="N164:N165"/>
    <mergeCell ref="K166:K167"/>
    <mergeCell ref="L166:L167"/>
    <mergeCell ref="M166:M167"/>
    <mergeCell ref="N166:N167"/>
    <mergeCell ref="G175:G176"/>
    <mergeCell ref="H175:H176"/>
    <mergeCell ref="I175:I176"/>
    <mergeCell ref="J175:J176"/>
    <mergeCell ref="K175:K176"/>
    <mergeCell ref="G173:G174"/>
    <mergeCell ref="H173:H174"/>
    <mergeCell ref="N183:N184"/>
    <mergeCell ref="I173:I174"/>
    <mergeCell ref="J173:J174"/>
    <mergeCell ref="K173:K174"/>
    <mergeCell ref="L173:L174"/>
    <mergeCell ref="M173:M174"/>
    <mergeCell ref="N173:N174"/>
    <mergeCell ref="G177:G178"/>
    <mergeCell ref="H177:H178"/>
    <mergeCell ref="I177:I178"/>
    <mergeCell ref="J177:J178"/>
    <mergeCell ref="K177:K178"/>
    <mergeCell ref="L177:L178"/>
    <mergeCell ref="M177:M178"/>
    <mergeCell ref="N177:N178"/>
    <mergeCell ref="A171:A172"/>
    <mergeCell ref="A173:A174"/>
    <mergeCell ref="A177:A178"/>
    <mergeCell ref="L175:L176"/>
    <mergeCell ref="M175:M176"/>
    <mergeCell ref="N175:N176"/>
    <mergeCell ref="G171:G172"/>
    <mergeCell ref="H171:H172"/>
    <mergeCell ref="I171:I172"/>
    <mergeCell ref="J171:J172"/>
    <mergeCell ref="K171:K172"/>
    <mergeCell ref="L171:L172"/>
    <mergeCell ref="M171:M172"/>
    <mergeCell ref="N171:N172"/>
    <mergeCell ref="A128:B128"/>
    <mergeCell ref="A147:B147"/>
    <mergeCell ref="A148:B148"/>
    <mergeCell ref="A149:B149"/>
    <mergeCell ref="A168:B168"/>
    <mergeCell ref="A169:B169"/>
    <mergeCell ref="A170:B170"/>
    <mergeCell ref="A189:B189"/>
    <mergeCell ref="A190:B190"/>
    <mergeCell ref="G185:G186"/>
    <mergeCell ref="H185:H186"/>
    <mergeCell ref="I185:I186"/>
    <mergeCell ref="J185:J186"/>
    <mergeCell ref="K185:K186"/>
    <mergeCell ref="L185:L186"/>
    <mergeCell ref="M185:M186"/>
    <mergeCell ref="N185:N186"/>
    <mergeCell ref="G179:G180"/>
    <mergeCell ref="H179:H180"/>
    <mergeCell ref="I179:I180"/>
    <mergeCell ref="J179:J180"/>
    <mergeCell ref="K179:K180"/>
    <mergeCell ref="L179:L180"/>
    <mergeCell ref="M179:M180"/>
    <mergeCell ref="N179:N180"/>
    <mergeCell ref="G183:G184"/>
    <mergeCell ref="H183:H184"/>
    <mergeCell ref="I183:I184"/>
    <mergeCell ref="J183:J184"/>
    <mergeCell ref="K183:K184"/>
    <mergeCell ref="L183:L184"/>
    <mergeCell ref="M183:M184"/>
    <mergeCell ref="A21:B21"/>
    <mergeCell ref="A22:B22"/>
    <mergeCell ref="A23:B23"/>
    <mergeCell ref="A42:B42"/>
    <mergeCell ref="A43:B43"/>
    <mergeCell ref="A44:B44"/>
    <mergeCell ref="A63:B63"/>
    <mergeCell ref="A64:B64"/>
    <mergeCell ref="A65:B65"/>
    <mergeCell ref="A84:B84"/>
    <mergeCell ref="A85:B85"/>
    <mergeCell ref="A86:B86"/>
    <mergeCell ref="A105:B105"/>
    <mergeCell ref="A106:B106"/>
    <mergeCell ref="A107:B107"/>
    <mergeCell ref="A126:B126"/>
    <mergeCell ref="A127:B127"/>
    <mergeCell ref="A68:A69"/>
    <mergeCell ref="A70:A71"/>
    <mergeCell ref="A74:A75"/>
    <mergeCell ref="A76:A77"/>
    <mergeCell ref="B66:B83"/>
    <mergeCell ref="A80:A81"/>
    <mergeCell ref="A82:A83"/>
    <mergeCell ref="A124:A125"/>
    <mergeCell ref="A258:B258"/>
    <mergeCell ref="A259:B259"/>
    <mergeCell ref="A268:B268"/>
    <mergeCell ref="A269:B269"/>
    <mergeCell ref="A270:B270"/>
    <mergeCell ref="A279:B279"/>
    <mergeCell ref="A280:B280"/>
    <mergeCell ref="A281:B281"/>
    <mergeCell ref="A290:B290"/>
    <mergeCell ref="A291:B291"/>
    <mergeCell ref="A292:B292"/>
    <mergeCell ref="A191:B191"/>
    <mergeCell ref="A202:B202"/>
    <mergeCell ref="A203:B203"/>
    <mergeCell ref="A204:B204"/>
    <mergeCell ref="A213:B213"/>
    <mergeCell ref="A214:B214"/>
    <mergeCell ref="A215:B215"/>
    <mergeCell ref="A224:B224"/>
    <mergeCell ref="A225:B225"/>
    <mergeCell ref="A226:B226"/>
    <mergeCell ref="A235:B235"/>
    <mergeCell ref="A236:B236"/>
    <mergeCell ref="A237:B237"/>
    <mergeCell ref="A246:B246"/>
    <mergeCell ref="A247:B247"/>
    <mergeCell ref="A248:B248"/>
    <mergeCell ref="A257:B257"/>
    <mergeCell ref="A284:A285"/>
    <mergeCell ref="A286:A287"/>
    <mergeCell ref="A260:A261"/>
    <mergeCell ref="A262:A263"/>
  </mergeCells>
  <phoneticPr fontId="1" type="noConversion"/>
  <pageMargins left="0.39370078740157483" right="0" top="0.11811023622047244" bottom="0.11811023622047244" header="7.874015748031496E-2" footer="7.874015748031496E-2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16年标样</vt:lpstr>
    </vt:vector>
  </TitlesOfParts>
  <Company>china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2017-07-26T01:24:13Z</cp:lastPrinted>
  <dcterms:created xsi:type="dcterms:W3CDTF">2016-01-06T03:59:34Z</dcterms:created>
  <dcterms:modified xsi:type="dcterms:W3CDTF">2017-08-01T03:22:26Z</dcterms:modified>
</cp:coreProperties>
</file>